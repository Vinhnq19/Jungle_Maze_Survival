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WIREFRAME" sheetId="2" r:id="rId6"/>
    <sheet state="visible" name="PROJECT TRACKING" sheetId="3" r:id="rId7"/>
    <sheet state="visible" name="CORE LOOP" sheetId="4" r:id="rId8"/>
    <sheet state="visible" name="Hero" sheetId="5" r:id="rId9"/>
    <sheet state="visible" name="Weapons" sheetId="6" r:id="rId10"/>
    <sheet state="visible" name="Equipments" sheetId="7" r:id="rId11"/>
    <sheet state="visible" name="Obstacles" sheetId="8" r:id="rId12"/>
    <sheet state="visible" name="PROCESSING" sheetId="9" r:id="rId13"/>
    <sheet state="visible" name="MAP DESIGN" sheetId="10" r:id="rId14"/>
    <sheet state="visible" name="ECONOMIC" sheetId="11" r:id="rId15"/>
    <sheet state="visible" name="MATCH DESIGN DATA" sheetId="12" r:id="rId16"/>
    <sheet state="visible" name="ITEM LIST" sheetId="13" r:id="rId17"/>
    <sheet state="visible" name="Assets" sheetId="14" r:id="rId18"/>
    <sheet state="visible" name="TEST &amp; BALANCE"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1">
      <text>
        <t xml:space="preserve">Khởi tạo bộ GDD đầy đủ theo Mẫu GDD chuẩn: Prototype Brief, Core Loop, Player Actions, Game Rules, UI &amp; UX, Hero, Weapons, Equipments, Obstacles, Map &amp; Zone, Match Flow, Zone Config, Loot Table, Graybox, Sound, Event Tracking, tầng kiểm chứng.
Kế thừa số liệu từ SurvivorBot - ELEMENTS GDD V3.0, đã quy đổi sang thời gian thực.</t>
      </text>
    </comment>
    <comment authorId="0" ref="B5">
      <text>
        <t xml:space="preserve">Số người chơi, Solo/đội, thời lượng trận và điều kiện thắng chưa được chốt cho bản PC online. Các thông số PC/LAN cũ là dữ liệu tham khảo.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Chứa màn hình, luồng hoạt động, core loop và core gameplay. Link Figma tổng/chi tiết chưa được cung cấp; không tự gán link mẫu Dungeon Builder.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tc={5fa6ba2c-7c9f-4d7a-81a1-cc1f84420670}</author>
  </authors>
  <commentList>
    <comment authorId="0" ref="A1">
      <text>
        <t xml:space="preserve">Sheet đầu mối mô tả toàn bộ Object chính và dẫn tới sheet chi tiết; sơ đồ vòng chơi/core gameplay nằm tại WIREFRAME.</t>
      </text>
    </comment>
    <comment authorId="1" xr:uid="{5fa6ba2c-7c9f-4d7a-81a1-cc1f84420670}" ref="D9">
      <text>
        <t xml:space="preserve">[Threaded comment]
 Your version of Excel allows you to read this threaded comment; however, any edits to it will get removed if the file is opened in a newer version of Excel. Learn more: https://go.microsoft.com/fwlink/?linkid=870924
Comment:
	nhận hay nhặt?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Object Hero và thao tác điều khiển. Phím cũ là baseline, không phải bộ điều khiển đã chốt.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Danh sách cũ để cùng rà soát; không phải roster mới. Độ hiếm cũ chưa được coi là xác suất hợp lệ. Bảng HP/DPS đã bỏ vì không phải TTK đo thực tế.</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Tên và số liệu cũ cần đổi theo concept. Không xác nhận ngoại lệ hồi sinh hay khống chế dài trước khi duyệt luật.</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Danh sách Object môi trường cũ để rà soát; tên/skin fantasy chưa được xác nhận cho concept Btooom!.</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Flow dự thảo cho concept mới; chưa gắn mốc thời gian cũ.</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Tương đương Level Design cho game sinh tồn: bố cục, nhịp di chuyển và phân bố Object. Chi tiết Object ở Obstacles; luồng trải nghiệm ở PROCESSING.</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Economic hiện quản lý tài nguyên trong trận: nguồn–tiêu, độ khan hiếm và phần thưởng/rủi ro; chưa thiết kế kinh doanh.</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Chỉ giữ baseline LAN cũ để rà soát. Concept mới chưa duyệt các số này. Mỗi giá trị chỉ có một nguồn; config mới phải được chốt trước khi triển khai.</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Danh mục nguồn–tiêu của bản cũ; chưa phải danh sách vật phẩm phát hành. Chỉ số chỉ nằm ở Weapons/Equipments.</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Gộp visual, graybox và audio; chỉ tách thành asset cụ thể sau khi cơ chế liên quan được chốt.</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Gộp nghiệm thu, cân bằng, playtest và bug. Chưa có kết quả test cho concept mới; không kế thừa nhãn Pass của bản cũ.</t>
      </text>
    </comment>
  </commentList>
</comments>
</file>

<file path=xl/sharedStrings.xml><?xml version="1.0" encoding="utf-8"?>
<sst xmlns="http://schemas.openxmlformats.org/spreadsheetml/2006/main" count="2030" uniqueCount="1092">
  <si>
    <t>GAME DESIGN DOCUMENT - LASTAWAY</t>
  </si>
  <si>
    <t>Version: 0.2.0</t>
  </si>
  <si>
    <t>Date: 11/10/2026</t>
  </si>
  <si>
    <t>Designed by HuyCV</t>
  </si>
  <si>
    <t/>
  </si>
  <si>
    <t>INFORMATION</t>
  </si>
  <si>
    <t>Game Title: Lastaway (chốt 22/10/2026, tên cũ Jungle Maze: Survival)
Genre: Tactical Survival, PvP
Graphics: 2D Pixel Art, Top-Down
Engine: Unity
Platform: PC Online</t>
  </si>
  <si>
    <t>IDEA</t>
  </si>
  <si>
    <t>Lastaway là game sinh tồn PvP trên PC online, sử dụng đồ họa 2D Pixel Art góc nhìn từ trên xuống và concept theo chủ đề anime Btooom!. Người chơi trực tiếp điều khiển nhân vật để khám phá bản đồ, loot vũ khí, trang bị và vật tư, sau đó xây dựng phương án sinh tồn dựa trên những gì thu thập được. Hệ vũ khí đa dạng, bao gồm bom và các loại vũ khí khác, tạo nhiều lựa chọn xử lý tình huống. Trọng tâm trải nghiệm nằm ở khả năng đọc tình huống, quản lý tài nguyên, tận dụng địa hình và cân nhắc thời điểm giao tranh hoặc rút lui; kỹ năng ngắm bắn không phải trọng tâm. Vòng lặp tìm kiếm tài nguyên – đánh giá tình huống – giao tranh hoặc né tránh – tái chuẩn bị buộc người chơi liên tục thích nghi với diễn biến trận đấu. Trò chơi hướng đến ba cảm giác chính: hào hứng khi loot và xoay sở với đồ tìm được, căng thẳng khi sinh tồn và đấu trí, cùng sự hỗn loạn, vui nhộn từ các tương tác bất ngờ trong trận.</t>
  </si>
  <si>
    <t>TRACKING GDD</t>
  </si>
  <si>
    <t>Version</t>
  </si>
  <si>
    <t>Content</t>
  </si>
  <si>
    <t>In charge</t>
  </si>
  <si>
    <t>note</t>
  </si>
  <si>
    <t>v0.1.0 - 21/09/2026</t>
  </si>
  <si>
    <t>Khởi tạo bộ GDD Lastaway cho prototype PC/LAN; kế thừa dữ liệu từ SurvivorBot - ELEMENTS GDD V3.0.</t>
  </si>
  <si>
    <t>HuyCV</t>
  </si>
  <si>
    <t>v0.2.0 - 11/10/2026</t>
  </si>
  <si>
    <t>RESTORE-ME</t>
  </si>
  <si>
    <t>ChatGPT</t>
  </si>
  <si>
    <t>Bản làm việc</t>
  </si>
  <si>
    <t xml:space="preserve">KIẾN TRÚC &amp; CÔNG NGHỆ MẠNG                        </t>
  </si>
  <si>
    <t>Trụ cột / Hạng mục</t>
  </si>
  <si>
    <t>Giải pháp &amp; Công nghệ</t>
  </si>
  <si>
    <t>Chi tiết kỹ thuật</t>
  </si>
  <si>
    <t xml:space="preserve">Ý nghĩa </t>
  </si>
  <si>
    <t>Mô hình Server &amp; Kiến trúc</t>
  </si>
  <si>
    <t>Dedicated Authoritative Server (.NET 8 Console &amp; C#) + REST API (ASP.NET Core 8)</t>
  </si>
  <si>
    <t>GameServer C# .NET 8 (Console) + LiteNetLib chạy 30Hz đơn luồng tuần tự, quản lý 10 slots cho 1 phòng. Vòng tick định hướng authoritative (kiểm soát di chuyển, va chạm, sát thương ở Phase 2). REST API và MongoDB tách biệt khỏi vòng tick, phục vụ đăng ký/đăng nhập/Swagger.</t>
  </si>
  <si>
    <t>Server giữ trạng thái chuẩn và kiểm tra hành động để các máy thấy cùng kết quả. Dùng chung kiến trúc cho Local, LAN và AWS Online.</t>
  </si>
  <si>
    <t>Giao thức truyền tải</t>
  </si>
  <si>
    <t>LiteNetLib (Reliable UDP - RUDP)</t>
  </si>
  <si>
    <t>LiteNetLib dùng UDP, cổng mặc định 7777. Wire Protocol v1: Connect (&lt;=256B), Ping/Pong (5B, Unreliable), Auth JWT (&lt;=4096B, ReliableOrdered), JoinAccepted/Rejected và AuthRequired (ReliableOrdered). Snapshot vị trí dùng Unreliable 30Hz; sự kiện bắn, sát thương, loot dùng ReliableOrdered. Config endpoint linh hoạt qua JSON, không cần build lại client.</t>
  </si>
  <si>
    <t>Tách dữ liệu liên tục khỏi sự kiện cần gửi lại và giữ thứ tự. Kiểm soát chặt kích thước payload và loại bỏ gói rác để chống crash/quá tải server.</t>
  </si>
  <si>
    <t>Đồng bộ &amp; Xử lý độ trễ</t>
  </si>
  <si>
    <t>[Giai đoạn 2] State Sync + Client Prediction + Reconciliation + Entity Interpolation</t>
  </si>
  <si>
    <t>Server: FixedTickLoop 30Hz (33.33ms) hỗ trợ catch-up tối đa 5 bước, tự động drop tick dư chống spiral of death. Client (Giai đoạn 2): Prediction &amp; reconciliation cho nhân vật mình (cảm giác 0ms), Interpolation (bộ đệm 100ms) làm mượt 9 đối thủ từ Unreliable snapshots. Kiểm chứng trên LAN và online với RTT 50/100ms, loss 1/3%.</t>
  </si>
  <si>
    <t>Phản hồi input ngay tại client rồi đối soát server; làm mượt đối thủ. Đo lỗi đồng bộ trong điều kiện mạng thực tế, không hứa hẹn độ trễ bằng 0.</t>
  </si>
  <si>
    <t>Cơ sở dữ liệu &amp; Xác thực</t>
  </si>
  <si>
    <t>MongoDB + Ký xác thực JWT (HS256) &amp; Chế độ RoomCode</t>
  </si>
  <si>
    <t>Hai chế độ vào phòng: (1) RoomCode: Không cần DB/API, server cấp PlayerId ngẫu nhiên (dùng cho LAN và bắt buộc trên AWS Public do UDP chưa mã hóa). (2) JWT: Login qua API nhận JWT (HS256), GameServer tự xác thực chữ ký và claim 'sub' trong RAM (chỉ dùng cho Local/VPN). MongoDB private trong Docker, không expose port ra Internet.</t>
  </si>
  <si>
    <t>Tách bạch phiên chơi nhanh (RoomCode) và phiên định danh tài khoản (JWT). Bảo vệ an toàn đường truyền khi chơi online.</t>
  </si>
  <si>
    <t>Chi phí &amp; Môi trường triển khai</t>
  </si>
  <si>
    <t>Đa môi trường: Local Dev / LAN phòng máy / AWS EC2 (Sydney)</t>
  </si>
  <si>
    <t>1. Local/LAN: Chạy Docker Desktop hoặc host trực tiếp trên PC, kết nối IP nội bộ hoặc Tailscale VPN.
2. AWS Cloud: 1 EC2 t3.small (Ubuntu 24.04, Sydney) chạy 4 container (GameServer, API, Mongo 7.0, Caddy HTTPS). Tên miền DuckDNS (junglemaze.duckdns.org), Caddy tự cấp SSL và bảo vệ Swagger. Vận hành theo lịch test, tự động start/stop và Stop EC2 Console để tiết kiệm credits.</t>
  </si>
  <si>
    <t>Linh hoạt giữa phát triển nội bộ 0đ và môi trường Cloud chuẩn hóa để test multiplayer diện rộng mà không bị hạn chế bởi CGNAT hay mở cổng mạng gia đình.</t>
  </si>
  <si>
    <t>WIREFRAME</t>
  </si>
  <si>
    <t>STT</t>
  </si>
  <si>
    <t>Issue</t>
  </si>
  <si>
    <t>Ref 1</t>
  </si>
  <si>
    <t>Ref 2</t>
  </si>
  <si>
    <t>Note</t>
  </si>
  <si>
    <t>Splash / Main Menu</t>
  </si>
  <si>
    <t>OVERVIEW</t>
  </si>
  <si>
    <t>Chơi online · phòng bạn bè · cài đặt · thoát. Cách vào trận cần chốt.</t>
  </si>
  <si>
    <t>Tạo / Vào phòng</t>
  </si>
  <si>
    <t>PROCESSING</t>
  </si>
  <si>
    <t>Tên hiển thị, mã phòng, trạng thái kết nối; chỉ hiện tùy chọn đã được hỗ trợ.</t>
  </si>
  <si>
    <t>Lobby</t>
  </si>
  <si>
    <t>Danh sách người, sẵn sàng, bắt đầu; cách xử lý thiếu người xem OVERVIEW.</t>
  </si>
  <si>
    <t>Loading</t>
  </si>
  <si>
    <t>Hiển thị tiến trình và hướng dẫn ngắn; xử lý lỗi tải/kết nối rõ ràng.</t>
  </si>
  <si>
    <t>Gameplay HUD</t>
  </si>
  <si>
    <t>CORE LOOP</t>
  </si>
  <si>
    <t>ITEM LIST</t>
  </si>
  <si>
    <t>HP · vũ khí/vật tư đang mang · hành động đang thực hiện · thông tin trận và bản đồ theo luật đã chốt.</t>
  </si>
  <si>
    <t>Inventory / Loot</t>
  </si>
  <si>
    <t>Hiện món đang chọn, số lượng và thay/giữ/vứt; thao tác không che khu vực giao tranh.</t>
  </si>
  <si>
    <t>Settings</t>
  </si>
  <si>
    <t>Âm lượng, phím điều khiển, hiệu ứng hình ảnh; mở menu không dừng trận online.</t>
  </si>
  <si>
    <t>Bị loại / Spectate</t>
  </si>
  <si>
    <t>Cho biết nguyên nhân bị loại; quan sát hoặc rời trận. Killcam chưa chốt.</t>
  </si>
  <si>
    <t>Kết quả / Chơi lại</t>
  </si>
  <si>
    <t>Kết quả cá nhân, kết quả trận và hành động chơi lại rõ ràng.</t>
  </si>
  <si>
    <t>Mất kết nối / Reconnect</t>
  </si>
  <si>
    <t>Báo đang kết nối lại, thời gian còn lại nếu có; thất bại phải có đường về menu.</t>
  </si>
  <si>
    <t>Gây / Nhận sát thương</t>
  </si>
  <si>
    <t>Assets</t>
  </si>
  <si>
    <t>Tín hiệu hình + âm thanh phân biệt rõ; nhận biết hướng nguy hiểm theo luật thông tin.</t>
  </si>
  <si>
    <t>Nguy hiểm sắp xảy ra</t>
  </si>
  <si>
    <t>Weapons</t>
  </si>
  <si>
    <t>MAP DESIGN</t>
  </si>
  <si>
    <t>Bom/bẫy có tín hiệu phù hợp để quan sát và phản ứng; luật tín hiệu cần chốt theo từng món.</t>
  </si>
  <si>
    <t>Loot / Hành động / Trạng thái</t>
  </si>
  <si>
    <t>Thông báo món nhận, tiến trình dùng đồ và hiệu ứng đang chịu; không nhồi thông tin giữa màn hình.</t>
  </si>
  <si>
    <t>CORE GAMEPLAY &amp; FLOW</t>
  </si>
  <si>
    <t>Luồng màn hình</t>
  </si>
  <si>
    <t>Figma: chưa cung cấp</t>
  </si>
  <si>
    <t>Main Menu → Phòng/Tìm trận → Lobby → Loading → Gameplay → Bị loại/Kết quả → Chơi lại hoặc Menu.</t>
  </si>
  <si>
    <t>Vòng chơi chính</t>
  </si>
  <si>
    <t>Loot → Quan sát → Lập kế hoạch → Giao tranh hoặc rút lui → Thu hồi/tái chuẩn bị → Loot.</t>
  </si>
  <si>
    <t>Loot và thích nghi</t>
  </si>
  <si>
    <t>ECONOMIC</t>
  </si>
  <si>
    <t>Chọn trang bị theo tình huống, đánh đổi việc lấy thêm đồ với nguy cơ bị phát hiện.</t>
  </si>
  <si>
    <t>Sinh tồn và đấu trí</t>
  </si>
  <si>
    <t>Hero</t>
  </si>
  <si>
    <t>Tìm lợi thế thông tin, vị trí và đường rút trước khi quyết định hành động.</t>
  </si>
  <si>
    <t>Hỗn loạn vui nhộn</t>
  </si>
  <si>
    <t>Obstacles</t>
  </si>
  <si>
    <t>Tương tác giữa người chơi/vũ khí/địa hình có thể phá kế hoạch và tạo phản công, thoát hiểm hoặc tự mắc bẫy.</t>
  </si>
  <si>
    <t>Nguyên tắc phản hồi</t>
  </si>
  <si>
    <t>Nguy hiểm và kết quả hành động có tín hiệu đủ hiểu để người chơi học được từ trải nghiệm.</t>
  </si>
  <si>
    <t>PROJECT TRACKING (3 GIAI ĐOẠN)</t>
  </si>
  <si>
    <t>Task ID</t>
  </si>
  <si>
    <t>Giai đoạn</t>
  </si>
  <si>
    <t>Deadline</t>
  </si>
  <si>
    <t>Module</t>
  </si>
  <si>
    <t>Tên công việc (Task Name)</t>
  </si>
  <si>
    <t>Chi tiết kỹ thuật &amp; Sub-tasks (Technical Scope)</t>
  </si>
  <si>
    <t>Tiêu chí hoàn thành (Acceptance Criteria / DoD)</t>
  </si>
  <si>
    <t>Phụ thuộc để bắt đầu (Hard Dependencies)</t>
  </si>
  <si>
    <t>Độ ưu tiên</t>
  </si>
  <si>
    <t>Trạng thái (Status)</t>
  </si>
  <si>
    <t>Người phụ trách (PIC)</t>
  </si>
  <si>
    <t>Tài liệu tham chiếu (Ref GDD)</t>
  </si>
  <si>
    <t>INF-01</t>
  </si>
  <si>
    <t>Giai đoạn 1</t>
  </si>
  <si>
    <t>Infra &amp; DevOps</t>
  </si>
  <si>
    <t>Chuẩn bị môi trường phát triển và Docker</t>
  </si>
  <si>
    <t>Việc cần làm:
- Tạo Dockerfile/compose cho Game Server, REST API và MongoDB; cấu hình địa chỉ bind, UDP 7777 và cổng TCP API bằng biến môi trường.
- Dùng cùng bộ cấu hình cho Local, LAN và VPN; có tài liệu cách chạy, firewall/cổng cần mở, cách xem log và tắt dịch vụ.
Ranh giới: INF-01 lo môi trường chạy dev/smoke test; INF-02 lo triển khai nhóm 10 người trên AWS.
Làm độc lập: chạy được container và thử ping/pong hai máy mà chưa cần gameplay hoàn chỉnh.</t>
  </si>
  <si>
    <t>Hoàn thành khi:
1. Chạy compose từ máy mới theo hướng dẫn, dịch vụ khởi động đúng cổng TCP/UDP.
2. Hai máy kết nối và ping/pong được qua LAN, thử thêm đường VPN; ghi lại endpoint và lỗi firewall gặp phải.
3. Không chứa mật khẩu, token hoặc khóa riêng trong build/config công khai.</t>
  </si>
  <si>
    <t>None</t>
  </si>
  <si>
    <t>P0</t>
  </si>
  <si>
    <t>Done</t>
  </si>
  <si>
    <t>Vinh</t>
  </si>
  <si>
    <t>OVERVIEW!14–20</t>
  </si>
  <si>
    <t>NET-01</t>
  </si>
  <si>
    <t>Backend &amp; Auth</t>
  </si>
  <si>
    <t>API đăng nhập và quản lý phòng bằng JWT</t>
  </si>
  <si>
    <t>Việc cần làm:
- Dùng ASP.NET Core 8 và MongoDB để đăng ký/đăng nhập, cấp JWT; API tạo/xem danh sách/xóa phòng yêu cầu JWT đúng quyền.
- Kiểm chủ phòng theo claim sub, giới hạn số phòng/quota và rate limit. Người chơi vào Game Server bằng RoomCode không bắt đăng nhập; API công khai chạy HTTPS.
Ranh giới: NET-01 sở hữu account và quyền quản lý phòng qua REST; SRV-02 sở hữu phiên kết nối người chơi vào phòng. Không gửi JWT qua UDP public.
Làm độc lập: test API đăng nhập, quyền phòng và DB bằng RoomManager giả trước khi kết nối game server.</t>
  </si>
  <si>
    <t>Hoàn thành khi:
1. JWT thiếu/sai/hết hạn không tạo/xóa phòng được; token đúng chỉ thao tác trong quyền/quota.
2. Đăng nhập và dữ liệu tài khoản vẫn hoạt động sau restart; có bài test rate-limit và quyền chủ phòng.
3. Join bằng RoomCode không phụ thuộc luồng login.</t>
  </si>
  <si>
    <t>OVERVIEW!16–20</t>
  </si>
  <si>
    <t>SRV-01</t>
  </si>
  <si>
    <t>Server Engine</t>
  </si>
  <si>
    <t>Vòng lặp server 30Hz và kiểm soát tải cơ bản</t>
  </si>
  <si>
    <t>Việc cần làm:
- Khởi tạo GameServer .NET 8 với LiteNetLib, PollEvents và fixed tick 30Hz (ngân sách 33,3ms/tick), giới hạn 10 kết nối mỗi phòng theo hệ quản lý phiên.
- Khi server chậm, catch-up tối đa 5 bước rồi bỏ tick dư để không tích backlog; ghi thời gian tick, catch-up và drop tick.
- Không gọi API/DB đồng bộ trong vòng tick; địa chỉ bind và UDP 7777 lấy từ config.
Ranh giới: SRV-01 sở hữu engine và lịch tick; SRV-03 sở hữu logic trận, entity và state sync.
Làm độc lập: test tick/catch-up/drop với simulated workload và fake transport, không chờ SRV-03.</t>
  </si>
  <si>
    <t>Hoàn thành khi:
1. Vòng lặp chạy mục tiêu 30Hz, đo tick time trên cấu hình máy đã ghi; lúc idle CPU chờ dưới 5% theo baseline.
2. Giả lập lag CPU cho thấy catch-up không quá 5 bước và backlog không tăng mãi; có log drop tick.
3. Nhận/từ chối kết nối theo giới hạn đã cấu hình mà không crash.</t>
  </si>
  <si>
    <t>OVERVIEW!16–18; MATCH DESIGN DATA!3–8</t>
  </si>
  <si>
    <t>SRV-02</t>
  </si>
  <si>
    <t>Bắt tay kết nối, RoomCode và quản lý phiên</t>
  </si>
  <si>
    <t>Việc cần làm:
- Dùng chung RoomManager cho UDP/WSS, quản lý PlayerId, slot pending/active và RoomCode. Baseline 10 người/phòng, tối đa 5 phòng và 50 phiên.
- Validate version, mã phòng và payload trước khi parse; kiểm kích thước Wire Protocol v1: Connect ≤256B, Ping/Pong 5B Unreliable, JWT Auth ≤4096B ReliableOrdered chỉ Local/VPN. Snapshot Unreliable, event quan trọng ReliableOrdered.
- Dùng attempt ID để khi thử lại qua transport khác không chiếm hai slot; timeout/leave phải trả slot.
Ranh giới: SRV-02 sở hữu handshake/session/slot; NET-01 sở hữu JWT và quyền quản lý phòng; SRV-03 sở hữu trạng thái trận.
Làm độc lập: test tạo/join/leave/timeout bằng packet giả và RoomManager, không cần mô phỏng trận.</t>
  </si>
  <si>
    <t>Hoàn thành khi:
1. Sai mã/gói lỗi/version sai/RoomFull/ServerFull trả lỗi rõ và không giữ slot.
2. Thử chuyển UDP → WSS chỉ tạo một phiên; rời phòng/timeout trả slot, không ảnh hưởng phòng khác.
3. Payload vượt ngưỡng bị từ chối an toàn; không phát JWT qua UDP Internet public.</t>
  </si>
  <si>
    <t>SRV-01, NET-01</t>
  </si>
  <si>
    <t>OVERVIEW!16–19</t>
  </si>
  <si>
    <t>CLI-01</t>
  </si>
  <si>
    <t>Client Core</t>
  </si>
  <si>
    <t>NetworkManager Unity và cấu hình kết nối</t>
  </si>
  <si>
    <t>Việc cần làm:
- Viết NetworkManager Unity xử lý connect/disconnect, gửi/nhận packet và callback trong Update. Endpoint apiBaseUrl, gameServerHost/Port, transport lấy từ file config ngoài build.
- Cho chọn Local/LAN/Online, hiển thị đang kết nối, timeout và lỗi mạng; tách lớp network transport khỏi game logic.
Ranh giới: CLI-01 chỉ sở hữu transport/kết nối; CLI-02 định nghĩa packet schema/encode-decode; MOV-02 sở hữu prediction và chính sách fallback UDP/WSS.
Làm độc lập: test connect/ping/pong và event giả, không chờ gameplay server.</t>
  </si>
  <si>
    <t>Hoàn thành khi:
1. Cùng một build Unity kết nối localhost, IP LAN và IP VPN mà không build lại.
2. Ping/pong, timeout và disconnect có callback/hiển thị rõ, có log RTT thực tế.
3. Thay packet schema không buộc sửa logic kết nối ngoài adapter serializer.
Lưu ý bằng chứng (commit 23/10): tài liệu client xác nhận đã join/RTT trên loopback nhưng chưa xác minh LAN/VPN thực tế bằng hai máy. Giữ trạng thái Done hiện có của team, song phải kiểm thêm tuyến LAN/VPN trong lượt INF-02/QA-01; không xem test loopback là bằng chứng cho mạng thật.</t>
  </si>
  <si>
    <t>Vũ</t>
  </si>
  <si>
    <t>OVERVIEW!17–19; WIREFRAME!3–5</t>
  </si>
  <si>
    <t>CLI-02</t>
  </si>
  <si>
    <t>Định nghĩa và mã hóa packet dùng chung Client–Server</t>
  </si>
  <si>
    <t>Việc cần làm:
- Định nghĩa Wire Protocol v1 và mã encode/decode nhị phân cho PlayerInput, PlayerState, Event cùng handshake/ack cơ bản. Có version, PacketType, sequence, giới hạn độ dài và channel/reliability rõ ràng.
- Snapshot vị trí 30Hz dùng Unreliable; sự kiện gameplay quan trọng dùng ReliableOrdered, Ping/Pong Unreliable. Validate dữ liệu trước khi decode để bỏ packet thiếu bytes/sai version.
Ranh giới: CLI-02 là nguồn schema dùng chung; CLI-01 và SRV-02 quyết gửi/nhận qua transport. Không trộn serializer với NetworkManager.
Làm độc lập: unit test packet chỉ cần byte array và fixture, không cần chờ CLI-01 hoàn thành.</t>
  </si>
  <si>
    <t>Hoàn thành khi:
1. Mọi packet encode → decode giữ đúng nội dung, không cấp phát GC trong hot path theo mục tiêu.
2. Test length min/max, malformed bytes, version sai và packet lặp; không crash hoặc parse vượt bộ đệm.
3. Có tài liệu schema/version/channel để client và server dùng chung.</t>
  </si>
  <si>
    <t>OVERVIEW!17–18; Hero</t>
  </si>
  <si>
    <t>CLI-03</t>
  </si>
  <si>
    <t>Khung mã dùng chung và quy ước kiến trúc Unity</t>
  </si>
  <si>
    <t>Việc cần làm:
- Chuẩn bị Bootstrap khởi tạo service, object pool cho projectile/VFX, factory, event bus/Observer và state machine cho vòng đời client/menu. Dùng interface/injection để các module có thể thay implementation bằng fake khi test.
- Đưa ra quy ước folder, prefab ownership và cách đăng ký service; không tạo singleton toàn cục cho mọi gameplay system.
Ranh giới: CLI-03 cung cấp hạ tầng dùng chung; mỗi task sở hữu logic và prefab thuộc phần việc của mình.
Làm độc lập: tạo scene demo chứng minh pool/event/state hoạt động không cần server.</t>
  </si>
  <si>
    <t>Hoàn thành khi:
1. Có prefab/sample và hướng dẫn ngắn sử dụng pool, event bus, service injection và state.
2. Một module demo chạy được với fake service, có thể thay bằng service thật mà không đổi code gọi.
3. Không nhân đôi listener sau đổi scene; object pool thu hồi đúng.</t>
  </si>
  <si>
    <t>P1</t>
  </si>
  <si>
    <t>OVERVIEW!16–18; CORE LOOP</t>
  </si>
  <si>
    <t>CLI-04</t>
  </si>
  <si>
    <t>Hệ cấu hình gameplay từ dữ liệu GDD</t>
  </si>
  <si>
    <t>Việc cần làm:
- Chuẩn hóa config ScriptableObject/JSON cho Weapons, Equipments và nhóm Config của MATCH DESIGN DATA và các giá trị cân bằng cần thiết.
- Tạo loader, key/ID nhất quán, giá trị mặc định hợp lệ và báo lỗi khi config thiếu/sai. Những mục GDD chưa duyệt phải giữ dạng baseline/tùy chọn, không hardcode thành luật cuối.
Ranh giới: CLI-04 sở hữu nạp/kiểm tra dữ liệu; WPN/ITM/ZON/MAP quyết cách sử dụng config, không tạo bảng cân bằng riêng.
Làm độc lập: test loader và validation trên các mẫu config, không cần gameplay chạy.
Đối chiếu source 23/10: BalanceConfigProvider mới đọc match.json, weapons.json, equipments.json; chưa có item-list catalog hoặc bảng lịch 5 phase bo/3 lần rồng. Phần dữ liệu loot/nguồn rơi thuộc ITM-01, lịch bo thuộc ZON-01 và lịch rồng thuộc DRG-01. Không coi các phần đó đã Done ở CLI-04.</t>
  </si>
  <si>
    <t>Hoàn thành khi:
1. Đổi chỉ số vũ khí/trang bị/map bằng config mà không sửa mã gameplay.
2. Thiếu ID/sai kiểu dữ liệu được phát hiện có thông báo rõ, không crash âm thầm.
3. Các module đọc cùng weapon/equipment ID và cùng version config. Danh mục loot/item nguồn rơi từ ITEM LIST là tiêu chí của ITM-01, chưa nghiệm thu ở CLI-04.</t>
  </si>
  <si>
    <t>Hào</t>
  </si>
  <si>
    <t>MATCH DESIGN DATA!3–38; Weapons; Equipments</t>
  </si>
  <si>
    <t>MOV-01</t>
  </si>
  <si>
    <t>Gameplay</t>
  </si>
  <si>
    <t>Điều khiển nhân vật: di chuyển và ngắm</t>
  </si>
  <si>
    <t>Việc cần làm:
- Nhận WASD tám hướng, chuẩn hóa đường chéo; quay theo chuột với aimLerpTime baseline 0,08s. Cung cấp đầu ra input/kinematics để MOV-02 dự đoán.
- Chuẩn bị mapping các phím hành động và callback điều khiển; cho phép module effect khóa/điều chỉnh input qua interface.
Ranh giới: MOV-01 sở hữu input và chuyển động cơ bản; MOV-02 sở hữu prediction/reconciliation; Game-10 áp dụng effect, ART-01 làm sprite/animation.
Làm độc lập: demo input/aim/collision trên scene local, không cần network hoặc UI.</t>
  </si>
  <si>
    <t>Hoàn thành khi:
1. Đi chéo bằng tốc độ đi thẳng (baseline 4 cell/s); ngắm mượt không giật góc.
2. Scene demo có thể giả lập input, gắn hiệu ứng slow/root qua interface mà không sửa lõi controller.
3. Không chứa code gửi packet hoặc tự quyết HP/effect.</t>
  </si>
  <si>
    <t>Hero; CORE LOOP</t>
  </si>
  <si>
    <t>ENV-01</t>
  </si>
  <si>
    <t>World</t>
  </si>
  <si>
    <t>Lưới map, vật cản cứng và quy tắc va chạm</t>
  </si>
  <si>
    <t>Việc cần làm:
- Dựng grid 50×50 cell, mỗi cell 48px; tạo collision của cột đá, tường, tảng đá và tượng cổ.
- Đã có collider/layer HardCover và CoverQuery raycast ở Unity để chặn movement/projectile; chia sẻ kích thước, vị trí và loại cover cho MAP-02/SRV-03. Quy tắc chắn vụ nổ, LOS đầy đủ và gameplay hazard tương tác chưa được coi là đã xong ở ENV-01; chúng thuộc phần tích hợp WPN/FOW/ENV giai đoạn sau.
Ranh giới: ENV-01 sở hữu geometry/collider và rule cover; ART-02 sở hữu sprite/tile/renderer, không sửa physics trên visual prefab.
Làm độc lập: scene graybox kiểm từng loại cover mà không cần combat server.</t>
  </si>
  <si>
    <t>Hoàn thành khi:
1. Bốn cover chặn di chuyển/đạn và có raycast/Collider2D kiểm chứng trên Unity. Chắn nổ và LOS gameplay end-to-end được nghiệm thu ở WPN-02/FOW-01, không mặc định đã chạy.
2. Có bộ prefab và bảng tag rõ để các team dùng chung; thay sprite không thay đổi collision.
3. Map graybox đúng kích thước baseline và các collider không lệch lưới.</t>
  </si>
  <si>
    <t>Obstacles; MAP DESIGN!6–7</t>
  </si>
  <si>
    <t>UI-01</t>
  </si>
  <si>
    <t>UI/UX</t>
  </si>
  <si>
    <t>HUD trong trận và các tín hiệu phản hồi</t>
  </si>
  <si>
    <t>Việc cần làm:
- Dựng HUD 16:9 gồm HP, giáp, adrenaline, ammo, 4 ô vũ khí, 4 ô dược, minimap, trạng thái hành động và effect/timer.
- Hiển thị nhặt đồ, gây/nhận sát thương, cảnh báo bom/bẫy và hướng nguy hiểm theo dữ liệu được phép. Tách lớp UI binding khỏi nguồn dữ liệu.
Ranh giới: UI-01 sở hữu bố cục và UI binding; ART-04 cung cấp icon, ITM-01/WPN-02/Game-10 cung cấp dữ liệu, VFX-01 sở hữu particle/thế giới ảo. HUD không tự thay HP/inventory.
Làm độc lập: dùng mock HUDState, InventoryState, EffectState để demo khi gameplay chưa có.</t>
  </si>
  <si>
    <t>Hoàn thành khi:
1. Demo 16:9 có đầy đủ thanh/chỉ số/slot/minimap, số liệu cập nhật đúng bằng fake data.
2. Có trạng thái dùng đồ bắt đầu/hủy/xong, effect hết hạn và phản hồi item/sát thương rõ khi nhiều event xảy ra.
3. Tích hợp dữ liệu thật không cần sửa bố cục hoặc gameplay logic; không che khu vực giao tranh quan trọng.</t>
  </si>
  <si>
    <t>Not Yet</t>
  </si>
  <si>
    <t>V.Huy</t>
  </si>
  <si>
    <t>WIREFRAME!7–15; Assets!6–9</t>
  </si>
  <si>
    <t>SRV-03</t>
  </si>
  <si>
    <t>Giai đoạn 2</t>
  </si>
  <si>
    <t>Điều phối trận đấu và đồng bộ trạng thái server</t>
  </si>
  <si>
    <t>Việc cần làm:
- Xây vòng mô phỏng 30Hz riêng cho từng phòng: Waiting → Lobby → Loading → InGame → Ending → Cleanup; nhận input có tick/sequence, xác thực di chuyển/va chạm, gửi snapshot và ack 30Hz.
- SRV-03 là nơi duy nhất cấp NetId, quản lý entity đang tồn tại, spawn/despawn và phân phát state/event đúng phòng. Công bố sớm các giao diện IMatchRuntime, IEntityRegistry, IServerClock và định dạng event/snapshot để team dùng mock.
- Điều kiện bắt đầu (số người, countdown 15s, Ready nếu bật), reconnect/grace và loadout khởi đầu đọc cấu hình; các luật chưa duyệt không được hardcode. Killcam nếu bật sử dụng replay buffer server ≥5s, chỉ cấp dữ liệu đúng phạm vi quyền.
Ranh giới: SRV-03 điều phối; MAP-02 chọn vị trí spawn, WPN-02 xử lý HP/death, Game-10 xử lý effect, ITM-01 xử lý item. Không viết lại luật của các hệ thống này.
Làm song song: tự test vòng trận và packet bằng fake movement/combat/loot. Khi tích hợp, nhận kết quả qua giao diện và chỉ phát state cuối.
Tích hợp hiển thị: khi policy ẩn thông tin được duyệt, SRV-03 áp dụng lọc state/event gửi cho từng client; FOW-01 chỉ cung cấp quy tắc nhìn và phần render, không thể thay thế bảo vệ dữ liệu ở server.
Điểm bắt buộc để tích hợp: GameServer chạy .NET thuần, không dùng được UnityEngine/Physics2D hoặc prefab Unity. Nhận tọa độ/kích thước/tag cover từ MAP-02/ENV-01 dưới dạng dữ liệu tuần tự hóa; triển khai kiểm tra di chuyển/va chạm authoritative bằng C# không phụ thuộc Unity, và quy định một hệ tọa độ thống nhất.
Chính sách định danh khi vào trận: giữ RoomCode không yêu cầu JWT. PlayerSessionId do server cấp cho phiên chơi chỉ dùng quản lý người trong trận, reconnect và ghi MatchResult; không dùng nickname hoặc ID phiên này làm tài khoản tiến trình vĩnh viễn. Khi có hồ sơ Guest/tài khoản đã được xác minh bằng kênh an toàn, liên kết riêng với phiên; nếu không, vẫn phát kết quả trận cho Guest không đăng nhập. Gửi MatchResult authoritative sang NET-02 ngoài vòng tick, không để DB/API chặn gameplay.</t>
  </si>
  <si>
    <t>Hoàn thành khi:
1. Hai Unity client cùng phòng thấy di chuyển/va chạm/spawn/despawn nhất quán, không có entity ma hoặc lẫn phòng; test profile 2 client và 6–10 người.
2. Có tài liệu contract + test với fake service, chứng minh thêm combat, item, zone không phải sửa lõi vòng tick.
3. Lobby/Loading/rejoin xử lý đúng cấu hình; không chặn server tick bởi API/DB. Nếu bật Killcam, replay 5s đúng phòng; nếu tắt có lối vào Spectator/Result.
4. Có bài test cùng một layout và input trên Unity client và GameServer cho kết quả collision đủ gần để prediction/reconciliation hoạt động; không gọi Unity Physics2D từ GameServer.
5. Người chơi Guest vào được bằng RoomCode khi không đăng nhập/không có DB; hai người trùng tên vẫn có PlayerSessionId khác nhau. Event kết trận do server sinh đủ ID phiên/hạng/kết quả để NET-02 lưu và UI-02 hiển thị, không dựa vào số liệu client khai.</t>
  </si>
  <si>
    <t>SRV-01, SRV-02, CLI-02, CLI-04, ENV-01</t>
  </si>
  <si>
    <t>PROCESSING!3–8; WIREFRAME!5–12; MATCH DESIGN DATA!3–8</t>
  </si>
  <si>
    <t>NET-02</t>
  </si>
  <si>
    <t>Lưu thành tích và hiển thị bảng xếp hạng (kể cả khách)</t>
  </si>
  <si>
    <t>Việc cần làm:
- Giữ nguyên chính sách truy cập: chỉ người tạo/quản lý phòng phải đăng nhập qua NET-01. Người có RoomCode vẫn chơi ngay bằng chế độ Guest; không bắt tạo tài khoản, không lấy JWT làm điều kiện vào trận.
- Định nghĩa MatchResult do GameServer xác nhận gồm MatchId, PlayerSessionId, tên hiển thị tại trận, hạng/điểm hạ gục/thời gian sống và version luật tính điểm. Đếm kết quả và xếp hạng trong từng trận cho cả Guest và tài khoản; công thức điểm/rank tổng thể phải theo GDD đã duyệt, không tự đặt luật.
- Khi dịch vụ lưu trữ hoạt động, ghi MongoDB và mở API đọc lịch sử/trang thành tích/bảng xếp hạng. Dùng khóa MatchId + PlayerSessionId để ghi đúng một lần dù event kết trận gửi lại; tên hiển thị không phải khóa định danh.
- Cần phân biệt hai loại danh tính: PlayerSessionId ngẫu nhiên do RoomCode cấp chỉ tồn tại trong một phiên; để lưu tiến trình Guest qua nhiều trận trên cùng thiết bị khi API online, backend phải cấp GuestProfileId kèm thông tin chứng minh quyền sở hữu và lưu an toàn. Cấp/khôi phục guest profile qua HTTPS khi API sẵn sàng, không truyền bí mật dài hạn trên UDP public, không tin GuestProfileId do client tự khai. Người đăng nhập có thể liên kết profile bằng bước xác minh riêng; không tự đồng nhất tên Guest với tài khoản.
Ranh giới: NET-02 sở hữu hồ sơ thành tích, dữ liệu lịch sử và API leaderboard. SRV-03 sở hữu kết quả authoritative và ID phiên, UI-02 sở hữu màn hình hiển thị, TEL-01 thu telemetry phục vụ phân tích chứ không tính lại thứ hạng. Không đưa Mongo/API vào vòng tick.
Làm song song: dùng MatchResult giả để hoàn thành API, dữ liệu Guest/session và bảng xếp hạng trước khi SRV-03 gửi kết quả thật. Nếu DB/API không có (đặc biệt LAN offline), RoomCode vẫn vào chơi và xem thứ hạng trận; chỉ lịch sử lâu dài/leaderboard online tạm không khả dụng.</t>
  </si>
  <si>
    <t>Hoàn thành khi:
1. Guest vào bằng RoomCode không cần đăng nhập, vẫn thấy xếp hạng và kết quả trận; tài khoản không đăng nhập cũng không được tạo/xóa phòng.
2. API lưu/xem lịch sử và bảng xếp hạng từ kết quả server; MatchId + PlayerSessionId chống lưu trùng, không nhận điểm/rank do client tự báo.
3. Hai Guest trùng nickname không bị gộp thành một người; PlayerSessionId ngẫu nhiên không bị xem là định danh lâu dài. Khi API online, có bài test lưu và khôi phục tiến trình Guest trên cùng thiết bị bằng thông tin chứng minh hợp lệ, không thể mạo danh bằng cách đổi tên hoặc gửi GuestProfileId tùy ý.
4. DB/API hỏng hoặc LAN không có API không chặn chơi RoomCode hay xem kết quả trong trận; màn hình báo rõ khi lịch sử/leaderboard online không khả dụng. Điểm tổng và quy tắc xếp hạng chưa được GDD duyệt phải hiển thị là quy tắc tạm hoặc để chưa triển khai.</t>
  </si>
  <si>
    <t>PROCESSING!7; OVERVIEW!19</t>
  </si>
  <si>
    <t>ZON-01</t>
  </si>
  <si>
    <t>Tính và đồng bộ Safe Zone theo luật server</t>
  </si>
  <si>
    <t>Việc cần làm:
- Thiết kế schema rồi xây ZoneController cho lịch 5 phase (tâm/bán kính, cảnh báo, thời gian/tốc độ co, nhịp damage). Trong mã hiện tại mới có các thông số bo chung ở match.json; bảng lịch 5 phase chưa được nạp, và baseline GDD chưa duyệt nên không được mặc định là config đã sẵn sàng.
- Dùng tick server để tính state; trả về zone state và yêu cầu gây sát thương cho dịch vụ HP của WPN-02. Không tự ghi HP trong ZoneController.
- Kiểm hình học map 50×50: baseline r25 có thể không phủ góc; nếu dùng bo lồng nhau, bo sau phải nằm trong bo trước và có lối tiếp cận.
Ranh giới: ZON-01 quyết định bo; SRV-03 phát state theo phòng, WPN-02 áp dụng damage, client chỉ vẽ. Quy tắc map/bo chưa duyệt phải giữ ở config.
Làm song song: test ZoneController bằng clock/player-position giả, chưa cần server trận hoàn chỉnh.</t>
  </si>
  <si>
    <t>Hoàn thành khi:
1. Test độc lập đủ 5 phase với clock giả; tâm, bán kính, warning, thời điểm co và tần suất damage đúng config.
2. Dùng hai client kiểm state bo trùng nhau; không trừ damage hai lần bởi gói tin lặp/trễ.
3. Cấu hình hình học bất hợp lý được báo rõ để team duyệt, không âm thầm chấp nhận baseline sai.
4. Có dữ liệu 5 phase có version và validation riêng, đọc được từ config hoặc khai báo tạm rõ ràng; không làm sai hoặc mặc định chốt phương án bo chưa duyệt.</t>
  </si>
  <si>
    <t>CLI-04, ENV-01</t>
  </si>
  <si>
    <t>MATCH DESIGN DATA!17–22,39–55; MAP DESIGN!8–10</t>
  </si>
  <si>
    <t>MOV-02</t>
  </si>
  <si>
    <t>Netcode</t>
  </si>
  <si>
    <t>Kết nối Unity và dự đoán di chuyển nhân vật</t>
  </si>
  <si>
    <t>Việc cần làm:
- Unity gửi PlayerInput theo tick/sequence, dự đoán di chuyển ngay tại client và sửa sai theo ack/snapshot authoritative. Dùng controller MOV-01 và collision ENV-01.
- Trước khi join: chế độ Auto thử UDP 5s, chỉ fallback sang WSS 443 khi lỗi transport; sai mã/đầy phòng không fallback. Dùng cùng attempt ID để không chiếm hai slot, không đổi transport sau khi join.
Ranh giới: MOV-02 xử lý vận chuyển và dự đoán của nhân vật mình; MOV-03 nội suy người khác; SRV-03 xác thực và mô phỏng thực trên server.
Làm song song: tạo fake authoritative server phát ack/snapshot theo contract CLI-02; không phải đợi SRV-03 Done. Tích hợp server thật khi contract sẵn sàng.</t>
  </si>
  <si>
    <t>Hoàn thành khi:
1. Với fake server, di chuyển/correction ổn định, không xuyên Hard Cover; có test input trễ, snapshot trùng hoặc mất gói.
2. Trên server thật, hai client chạy cả UDP và WSS/Auto; chặn UDP vẫn join qua WSS, không tạo slot trùng.
3. Có log RTT/correction ở 50/100ms RTT, jitter 20ms và loss 1/3%; sai mã/đầy phòng báo lỗi đúng.</t>
  </si>
  <si>
    <t>CLI-01, CLI-02, MOV-01, ENV-01</t>
  </si>
  <si>
    <t>Hero; OVERVIEW!17–19</t>
  </si>
  <si>
    <t>MOV-03</t>
  </si>
  <si>
    <t>Hiển thị chuyển động của những người chơi khác</t>
  </si>
  <si>
    <t>Việc cần làm:
- Nhận snapshot qua interface của NetworkManager; giữ buffer theo tick và nội suy vị trí/góc với độ trễ hiển thị khoảng 100ms cho tối đa 9 đối thủ.
- Bỏ snapshot trùng/cũ, giới hạn extrapolation; tạo/xóa view từ event spawn/despawn có NetId.
Ranh giới: MOV-03 chỉ sở hữu remote-player view và interpolation. Không sửa dự đoán của chính mình (MOV-02), không tự cấp NetId hoặc quyết state server.
Làm song song: dùng bộ snapshot/spawn/despawn giả để test renderer trước khi server multiplayer hoàn chỉnh.</t>
  </si>
  <si>
    <t>Hoàn thành khi:
1. Test fake snapshot với jitter, loss, packet trùng và mất spawn/despawn; không tích state cũ trên WSS.
2. Khi tích hợp thật, hai client nhìn nhau di chuyển/xoay đúng, không có ghost entity sau khi đổi phòng/rời trận.
3. Có đo jitter/correction trên UDP và WSS theo cùng bộ thử MOV-02.</t>
  </si>
  <si>
    <t>CLI-02, CLI-03</t>
  </si>
  <si>
    <t>Hero; OVERVIEW!18</t>
  </si>
  <si>
    <t>WPN-01</t>
  </si>
  <si>
    <t>Combat</t>
  </si>
  <si>
    <t>Điều khiển và hiển thị vũ khí cận chiến, súng</t>
  </si>
  <si>
    <t>Việc cần làm:
- Client đọc config cho 6 vũ khí cận chiến và 4 súng; xử lý chọn vũ khí, ngắm, nhịp đánh/bắn, đạn/băng, R nạp 1,2–2,8s và hiệu ứng dự đoán từ pool.
- Gửi Attack/ReloadRequest có ID/sequence theo contract. Thể hiện đặc điểm riêng của Shotgun (5 pellet, góc 25°), rìu, chùy theo config.
Ranh giới: WPN-01 chỉ sở hữu input và trình bày ở client. WPN-02 xác nhận hit, ammo, damage, stun, HP; VFX-01 cung cấp hiệu ứng trình diễn dùng chung.
Làm song song: dùng fake AttackResult/ReloadResult để tự demo đủ 10 vũ khí trước khi kết nối combat server.
Nguồn art JSurviv đã có 5 prefab cận chiến có tên AXE/BONE/KNIFE/MACE/TREE_BRANCH và 4 prefab súng tương ứng; HAND (tay không) là hành động mặc định, không cần một prefab weapon riêng. Chọn visual phù hợp và chỉ port sprite/animation; không dùng logic Socket.IO cũ.</t>
  </si>
  <si>
    <t>Hoàn thành khi:
1. Có demo độc lập chọn/đánh/bắn/nạp từng vũ khí; dùng config đổi nhịp/đạn mà không sửa code.
2. Gói gửi đúng schema, không tự cộng HP/damage/loot; hiệu ứng dự đoán được xác nhận hoặc hủy khi server trả kết quả.
3. Test tích hợp cho thấy hai client cùng thấy sự kiện tấn công và nạp sau xác nhận.</t>
  </si>
  <si>
    <t>CLI-03, CLI-04, MOV-01</t>
  </si>
  <si>
    <t>Weapons; Hero</t>
  </si>
  <si>
    <t>WPN-02</t>
  </si>
  <si>
    <t>Xác nhận sát thương, HP và kết quả chết trên server</t>
  </si>
  <si>
    <t>Việc cần làm:
- Xây CombatService authoritative: kiểm actor còn sống/quyền điều khiển, ammo, reload, cooldown, range, vật cản, hit, damage; chốt HP và sự kiện chết. Mọi request có ID/sequence để chống xử lý trùng.
- Đọc luật vũ khí từ config: rìu +50% lên vật phá được, Shotgun 5 pellet/25°, armor/helmet và độ bền theo luật đang áp dụng.
- Khi damage có thể gây chết, hỏi ITM-01 qua IItemPassive về passive cứu mạng; nếu thành công thì cập nhật 50 HP, yêu cầu Game-10 cấp bất tử 2s, dùng passive đúng một lần (baseline chưa duyệt).
Ranh giới: WPN-02 là nơi duy nhất thay đổi HP nhân vật và quyết định sống/chết của Hero; ENV-02 giữ HP rương/chum, DRG-01 giữ HP trứng, còn WPN-02 chuyển sự kiện damage đã xác nhận đến các hệ thống đó. Game-10 quản lý effect, ITM-01 quản lý item/tiêu thụ, ENV-02 nhận event trúng vật phá được, SRV-03 phát event cho client.
Làm song song: test bằng fake item/effect/entity và input combat giả; không phải đợi WPN-01, MOV-02 hay SRV-03 hoàn thiện.
Va chạm đạn/hit test phải chạy được trong GameServer .NET bằng hình học cover được đồng bộ từ map data; không tham chiếu trực tiếp Collider2D hoặc CoverQuery Unity. Trước khi combat tích hợp, thống nhất schema vị trí, hình dạng collider và quyền xác nhận hit với SRV-03/MAP-02.</t>
  </si>
  <si>
    <t>Hoàn thành khi:
1. Unit test đúng hit/collision/ammo/reload/armor, không bắn xuyên Hard Cover; request trùng không nhân damage hay trừ đạn.
2. Giả lập hai hit cùng tick: nếu passive được bật, chỉ cứu một lần, HP=50 và miễn damage đủ 2s; nếu tắt xử lý chết theo config.
3. Tích hợp hai client cho HP/ammo/death giống nhau; log được case RTT/loss của MOV-02 và không rò event sang phòng khác.
4. Unit test hit/collision bằng dữ liệu hình học thuần .NET; cùng kịch bản cover với Unity không cho kết quả xuyên tường khác nhau ở phía server.</t>
  </si>
  <si>
    <t>CLI-02, CLI-04, ENV-01</t>
  </si>
  <si>
    <t>Weapons; Equipments!3–8,17; Obstacles</t>
  </si>
  <si>
    <t>ENV-02</t>
  </si>
  <si>
    <t>Vật thể phá được và tạo loot khi bị phá</t>
  </si>
  <si>
    <t>Việc cần làm:
- Quản lý trạng thái rương/chum, HP theo baseline (rương 30, chum 20); khi nhận DamageConfirmed từ WPN-02, vật thể bị phá đúng một lần và tạo yêu cầu sinh loot theo ITEM LIST.
- Trả danh sách item spawn tại vị trí hợp lệ cho hệ quản lý entity/floor item. Viết test với fake damage/event.
Ranh giới: ENV-02 sở hữu luật phá vật và bảng loot khi vỡ; WPN-02 tính damage, SRV-03 cấp NetId/spawn, ITM-01 quản lý item trên sàn, nhặt và death-drop. Không tự cấp NetId hoặc xử lý nhặt.
Làm song song: rương/chum hoạt động với fake DamageConfirmed, fake spawner; tích hợp các hệ thống thật sau.</t>
  </si>
  <si>
    <t>Hoàn thành khi:
1. Hai lượt đánh đồng thời/gói lặp chỉ phá và sinh loot một lần; rương rơi 3–4 món theo config.
2. Test độc lập xác nhận loot tạo ra có item ID/position hợp lệ, không nhặt trùng.
3. Khi tích hợp hai client thấy cùng vật bị phá và cùng loot; vào phòng muộn không thấy vật đã vỡ sống lại.</t>
  </si>
  <si>
    <t>ENV-01, CLI-04</t>
  </si>
  <si>
    <t>Quang Huy</t>
  </si>
  <si>
    <t>Obstacles; ITEM LIST; ECONOMIC</t>
  </si>
  <si>
    <t>ENV-03</t>
  </si>
  <si>
    <t>Xử lý bẫy, địa hình nguy hiểm và portal</t>
  </si>
  <si>
    <t>Việc cần làm:
- Viết từng module môi trường: đầm lầy giảm tốc 40%, lava 20 HP/s xuyên giáp, bẫy Poison 3s, ba cặp portal cooldown 3s và cửa đá chu kỳ 20s/knockback (baseline chưa duyệt).
- Module kiểm tra trigger/cooldown và gửi yêu cầu ApplyDamage cho WPN-02, ApplyEffect cho Game-10, Teleport/MoveCommand cho hệ di chuyển; không sửa trực tiếp HP/effect ở đây.
Ranh giới: ENV-03 sở hữu thời điểm trigger và logic tương tác môi trường; WPN-02 xử lý HP, Game-10 xử lý buff/debuff, SRV-03 phát vị trí/state, ART-03 chỉ phụ trách hiển thị.
Làm song song: dựng hazard bằng trigger giả và fake Damage/Effect/Move service, không chờ Game-10 hoàn tất.</t>
  </si>
  <si>
    <t>Hoàn thành khi:
1. Test từng hazard với fake service: lava gửi 10 HP/0,5s, portal đúng cặp/cooldown, đầm lầy và poison đúng thời hạn, cửa đá không lặp trigger.
2. Gói/event trùng không gây teleport, damage hay CC thêm lần nữa.
3. Tích hợp hai client nhận cùng vị trí/state/HP và hiệu ứng sau tương tác.</t>
  </si>
  <si>
    <t>Obstacles; Equipments; MAP DESIGN</t>
  </si>
  <si>
    <t>Game-10</t>
  </si>
  <si>
    <t>Quản lý hiệu ứng trạng thái và khống chế</t>
  </si>
  <si>
    <t>Việc cần làm:
- Xây EffectService dùng chung cho Stun, Root, Reverse, Slow, Poison, Tàng hình, Adrenaline, cleanse và miễn nhiễm CC. Server quản lý nguồn, EffectId, thời gian bắt đầu/kết thúc và quy tắc chồng/cắt effect theo config.
- Cung cấp các lệnh ApplyEffect, RemoveEffect, QueryControlState và hiệu chỉnh tốc độ/input cho module di chuyển; không tự tính HP.
- Áp dụng các ngoại lệ Equipments đang ở baseline: La bàn dùng 2s rồi stun vùng 9×9 trong 5s trừ người dùng; ELIXIR dùng được khi đang bị CC, giải/miễn CC 7s; MAGIC tàng hình 5s và lộ khi gây damage.
Ranh giới: Game-10 sở hữu trạng thái effect duy nhất. ITM-01 quyết định dùng/tiêu thụ vật phẩm; WPN-02 xử lý damage/death; UI-01 hiển thị icon/timer.
Làm song song: test đầy đủ effect bằng fake clock, fake hero và item event; không đợi MOV-02/WPN-02 Done.</t>
  </si>
  <si>
    <t>Hoàn thành khi:
1. Unit test từng loại effect, ưu tiên miễn CC, cộng dồn/hết hạn, Root vẫn cho đánh, Stun khóa đúng hành động theo policy cấu hình.
2. La bàn không stun chủ nhân; ELIXIR dùng được lúc bị CC; MAGIC hết tàng hình khi gây damage; các luật chưa duyệt bật/tắt qua config.
3. Hai client cùng duration/state khi tích hợp, packet/event trùng không tạo effect thứ hai.</t>
  </si>
  <si>
    <t>Equipments!14–18; Weapons!13–20; Hero</t>
  </si>
  <si>
    <t>UI-02</t>
  </si>
  <si>
    <t>Màn hình menu, vào phòng, Lobby và kết quả</t>
  </si>
  <si>
    <t>Việc cần làm:
- Xây luồng Main Menu → chọn endpoint → tạo/list/xóa phòng sau JWT → join bằng RoomCode → Lobby → Loading → Gameplay → Defeat/Victory → chơi lại/menu.
- Lobby hiển thị danh sách người, Ready/Start nếu luật này được duyệt, countdown theo server. Loading có hướng dẫn điều khiển ngắn và thông báo lỗi. Result hiển thị nguyên nhân bị loại, kết quả cá nhân/trận.
- Có trạng thái mất kết nối/reconnect/grace khi được bật; luôn có đường trở về menu khi thất bại.
Ranh giới: UI-02 chỉ hiển thị và gửi yêu cầu; NET-01 xác thực quyền quản lý phòng, SRV-03 quyết start/result, MOV-02 quản lý kết nối. Không tự chạy countdown hoặc kết luận thắng/thua.
Làm song song: dựng tất cả màn hình bằng mock LobbyState/MatchResult/ConnectionState; tích hợp khi API/event được bàn giao.
Luồng xác thực đã chốt: từ Main Menu người chơi chọn (1) Nhập RoomCode và tên hiển thị → Join trực tiếp dưới dạng Guest, không bị chặn bởi màn hình đăng nhập; hoặc (2) Đăng ký/đăng nhập qua NET-01 khi muốn tạo, liệt kê hay xóa phòng. Bảng kết quả phải hiển thị hạng trận cho Guest; màn hình lịch sử/leaderboard online lấy dữ liệu NET-02, có trạng thái không có dữ liệu hoặc dịch vụ tạm ngừng. Không nhầm nickname với tài khoản, không hiển thị Guest như hồ sơ lâu dài nếu chưa có GuestProfile được xác minh.</t>
  </si>
  <si>
    <t>Hoàn thành khi:
1. Chạy trọn luồng bằng dữ liệu giả, gồm phòng đầy, JWT hết hạn, sai mã, loading lỗi, mất mạng và chơi lại.
2. Tích hợp hai client thấy cùng Lobby/countdown/result và quyền tạo/xóa phòng đúng; join RoomCode không bắt login.
3. Trạng thái chưa duyệt (Ready/reconnect) được điều khiển bằng config hoặc mock, không tự chọn luật thay GDD.
4. Test toàn bộ hai đường: Guest không đăng nhập vẫn join/hoàn thành trận/xem hạng; người quản lý phòng thiếu JWT hoặc JWT hết hạn phải đăng nhập lại. Bảng xếp hạng/lịch sử hiển thị đúng kết quả và không gộp người trùng tên; khi API lỗi, Guest vẫn vào game bình thường.</t>
  </si>
  <si>
    <t>UI-01, NET-01</t>
  </si>
  <si>
    <t>WIREFRAME!3–12; PROCESSING!3–8</t>
  </si>
  <si>
    <t>DRG-01</t>
  </si>
  <si>
    <t>World &amp; Event</t>
  </si>
  <si>
    <t>Sự kiện rồng thả trứng và loot hiếm</t>
  </si>
  <si>
    <t>Việc cần làm:
- Viết AirdropController và schema lịch thả rồng riêng (mốc baseline 2:00, 4:00, 5:30; số lần/timing được cấu hình, chờ duyệt); chọn vị trí hợp lệ, tạo Dragon/Egg event và quản lý trứng HP 150. Mã hiện có mới nạp số lần thả, khoảng cách mép bo và thời gian rồng bay, chưa nạp danh sách mốc thả.
- Khi trứng vỡ, gửi một yêu cầu loot 6–8 món đúng ITEM LIST. Cung cấp event để client hiển thị rồng, bóng, icon minimap.
Ranh giới: DRG-01 sở hữu lịch/sự kiện; MAP-02 cung cấp vị trí hợp lệ, WPN-02 xử lý damage lên trứng, ENV-02 hỗ trợ quy tắc loot khi phá, SRV-03 cấp NetId/phát event, ITM-01 quản lý nhặt. Không viết lại các phần này.
Làm song song: kiểm thử bằng fake clock, fake damage và fake loot-spawner trước khi nối các service thật.</t>
  </si>
  <si>
    <t>Hoàn thành khi:
1. Unit test đúng ba mốc, vị trí theo config, trứng chỉ bị phá một lần, loot 6–8 món không nhân đôi.
2. Bật nhiều phòng không lẫn rồng/trứng/loot, gói trễ hoặc lặp không sinh thêm event.
3. Tích hợp hai client thấy cùng rồng, trứng, minimap và vật phẩm khi phá.
4. Thay các mốc sự kiện từ config mà không sửa code; dữ liệu chưa duyệt có trạng thái baseline rõ ràng.</t>
  </si>
  <si>
    <t>P2</t>
  </si>
  <si>
    <t>MATCH DESIGN DATA!23–25,39–55; ECONOMIC; ITEM LIST</t>
  </si>
  <si>
    <t>AUD-01</t>
  </si>
  <si>
    <t>Audio</t>
  </si>
  <si>
    <t>AudioManager và phản hồi âm thanh trong game</t>
  </si>
  <si>
    <t>Việc cần làm:
- Xây AudioManager/AudioMixer, quản lý Master/SFX (và Music nếu BGM được duyệt), phát SFX qua audio-source pool; cung cấp API PlaySfx(eventId, position).
- Dựng bảng mapping event cho 26 SFX: bước chân, chém/bắn, hitmarker, trúng đòn, cảnh báo bo 3 chuông, rồng gầm, nhặt đồ... BGM nếu bật chuyển theo menu/trận/kết quả và không che cảnh báo.
Ranh giới: AUD-01 là owner duy nhất của audio runtime, mixer và playback; ART-05 chỉ chuẩn bị/tối ưu file nhạc, SFX, license và metadata, không sửa AudioManager.
Làm song song: dùng âm thanh placeholder để test event bus trước khi ART-05 nộp asset cuối.</t>
  </si>
  <si>
    <t>Hoàn thành khi:
1. Có demo phát SFX từ event ID với placeholder, giới hạn số audio-source và điều khiển volume hoạt động.
2. Thay bằng asset ART-05 không phải viết lại code, không phát trùng khi event server lặp.
3. Hitmarker rõ, bo cảnh báo 3 chuông, tiếng rồng nhận biết được; BGM bật/tắt theo quyết định GDD.</t>
  </si>
  <si>
    <t>Assets!11–16; WIREFRAME!13–15</t>
  </si>
  <si>
    <t>UI-03</t>
  </si>
  <si>
    <t>Cài đặt trong trận và xem sau khi bị loại</t>
  </si>
  <si>
    <t>Việc cần làm:
- Menu ESC gồm âm lượng, độ nhạy chuột, screen shake và thoát trận; mở ESC không dừng simulation online.
- Dựng Spectator cho phép chuyển giữa người còn sống. Killcam 5s là tùy chọn chưa chốt: nếu bật, UI phát replay nhận từ SRV-03 (góc kẻ hạ), rồi chuyển Spectator; thiếu buffer phải fallback rõ.
Ranh giới: UI-03 sở hữu giao diện/settings/camera spectator; SRV-03 sở hữu replay data và quyền truy cập, UI-02 sở hữu Result/menu flow. Không tự mô phỏng lại damage/death.
Làm song song: dùng replay/spectator state giả để test camera, ESC và fallback, không đợi SRV-03 hoàn thiện replay buffer.</t>
  </si>
  <si>
    <t>Hoàn thành khi:
1. ESC mở/đóng mượt, không làm pause server và các thiết lập có hiệu lực.
2. Với dữ liệu giả, spectator đổi được mục tiêu; Killcam bật chạy đúng 5s, tắt/thiếu data vẫn tiếp tục được.
3. Khi tích hợp, replay đúng phòng/đúng người, không rò dữ liệu và quay về luồng kết quả hợp lệ.</t>
  </si>
  <si>
    <t>WIREFRAME!9–12; PROCESSING!7–8</t>
  </si>
  <si>
    <t>MAP-02</t>
  </si>
  <si>
    <t>Thiết kế layout, spawn và vị trí thực thể trên map</t>
  </si>
  <si>
    <t>Việc cần làm:
- Tạo bản Map Plan/graybox có landmark, khu loot/hotspot, đường tiếp cận/rút lui, vùng cover, spawn và đường tránh bo
- Sinh layout/seed và danh sách vị trí: 10 spawn cách nhau ≥6 cell, tránh cover/hazard; 60 rương, 90 chum, 45 bụi, 3 cặp portal và cửa đá theo config.
Ranh giới: MAP-02 sở hữu lựa chọn bố cục và vị trí spawn; SRV-03 mới là nơi cấp NetId, spawn/despawn và broadcast; ENV-02/03 xử lý tương tác từng vật thể.
Làm song song: test thuật toán layout bằng seed cố định, xuất danh sách tọa độ/loại entity; không cần server multiplayer hoàn chỉnh.
Đầu ra tích hợp bổ sung: xuất map version/seed, danh sách cover collider (tọa độ, kích thước, loại chặn) và vị trí spawn/loot ở định dạng dữ liệu độc lập Unity để SRV-03/WPN-02 dùng trên .NET. Prefab/sprite chỉ là phần hiển thị tại Unity.</t>
  </si>
  <si>
    <t>Hoàn thành khi:
1. Có map plan/graybox có version, minh họa rõ spawn, loot, landmark, đường đi và lối thoát tại hotspot.
2. Cùng seed tạo cùng danh sách vị trí; đủ số lượng config, spawn không đè người/hazard hoặc kẹt.
3. Khi tích hợp SRV-03, hai client nhận đúng một map version và tọa độ, không lẫn seed giữa phòng.
4. Server load được cùng dữ liệu hình học mà Unity dùng; kiểm hash/version và test collider/spawn nhất quán trên hai phía.</t>
  </si>
  <si>
    <t>MAP DESIGN!3–14; MATCH DESIGN DATA!7–8,26–31</t>
  </si>
  <si>
    <t>ITM-01</t>
  </si>
  <si>
    <t>Quản lý túi đồ, sử dụng vật phẩm và loot trên sàn</t>
  </si>
  <si>
    <t>Việc cần làm:
- InventoryService authoritative quản lý 4 ô vũ khí, 4 ô dược, ammo/giáp tự nhặt (R-054), nhặt F, đổi/bỏ đồ, item trên sàn và death-drop (R-046).
- Kiểm slot, khoảng cách, số lượng, item ownership, trạng thái dùng và thời gian dùng 0,5–3,5s. Quy tắc đứng yên/hủy khi di chuyển, bị đánh, CC theo từng item ở config; ELIXIR là ngoại lệ dùng khi đang bị CC.
- Khi start, nhận yêu cầu tạo starter loadout từ SRV-03 theo config chưa chốt. Cung cấp IItemPassive cho WPN-02 xác nhận và tiêu thụ Tiên dược sự sống một lần; không tự tăng HP.
Ranh giới: ITM-01 sở hữu item và điều kiện sử dụng duy nhất; ENV-02/DRG-01 chỉ đưa loot đầu vào, WPN-02 sửa HP/death, Game-10 sửa effect, SRV-03 quản lý NetId.
Làm song song: tự sinh item đầu vào giả và test hai người tranh loot; không đợi ENV-02/SRV-03 hoàn thiện.
Đây cũng là owner chuyển ITEM LIST thành catalog/drop table thống nhất: ánh xạ các item ID từ Weapons/Equipments và nguồn rơi từ chum/rương/thính/xác theo baseline GDD; tách bảng loot khỏi cấu hình match/weapons/equipments đã có ở CLI-04.</t>
  </si>
  <si>
    <t>Hoàn thành khi:
1. Unit test nhặt đồng thời chỉ một người nhận, đổi đồ đúng, không sử dụng/tiêu thụ hai lần vì request lặp.
2. Test timer/hủy item, ELIXIR khi CC và passive cứu mạng chỉ tiêu thụ một lần; không death-drop khi đang được cứu hợp lệ.
3. Tích hợp hai client có inventory/floor loot giống server; không rò item khác phòng, loadout khởi đầu theo config.
4. Có kiểm thử lookup toàn bộ item ID và bảng nguồn rơi theo ITEM LIST; đổi bảng rơi không phải sửa logic nhặt/tiêu thụ.</t>
  </si>
  <si>
    <t>ITEM LIST!3–37; Equipments!9–18; PROCESSING!3–4</t>
  </si>
  <si>
    <t>ART-01</t>
  </si>
  <si>
    <t>Visual &amp; Art</t>
  </si>
  <si>
    <t>Tái sử dụng sprite và animation Hero từ JSurviv</t>
  </si>
  <si>
    <t>Việc cần làm:
- Kiểm tra các bộ sprite trong Assets/Imported/JSurviv/Sprites/Hero/Hero_*, animation tại AnimationClips/Player và AnimationClips/hvu_Player, cùng Player.controller/hvuPlayer.controller. Chọn một bộ nhân vật phù hợp để dùng cho prototype; ghi rõ animation có sẵn và animation nào thiếu.
- Gắn visual/Animator vào Hero.prefab và PlayerView.prefab của Assets/_JungleMaze. Hiện PlayerView chủ yếu dùng SpriteRenderer, chưa phải Hero đã port hoàn chỉnh. Hoàn thiện Idle, Move, Aim, Attack, UseItem, Die ở mức asset thực sự hỗ trợ; kiểm frame, hướng nhìn, pivot, sorting, scale và cách hiển thị vũ khí cầm tay.
- Nếu bộ animation cũ không khớp cơ chế di chuyển/ngắm mới, chỉ điều chỉnh hoặc tạo clip còn thiếu; không làm lại toàn bộ sprite có sẵn.
Ranh giới: Hào phụ trách cả MOV-01 và ART-01, nên tự tích hợp visual với controller. Giữ Rigidbody2D/collider và logic mạng mới; không đưa PlayerEntity/Socket.IO cũ vào Hero mới. Không chỉnh trực tiếp tài nguyên gốc trong Imported/JSurviv, tạo visual/prefab mới ở _JungleMaze.
Làm độc lập: chạy scene demo với fake input, sau đó kiểm cả Hero local và remote view.</t>
  </si>
  <si>
    <t>Hoàn thành khi:
1. Có bảng chọn Hero/clip từ JSurviv kèm đường dẫn, ghi rõ phần đã tái dùng và phần còn thiếu; không chỉ xác nhận dựa vào tên file.
2. Hero local và remote thể hiện đúng animation/hướng ngắm/nhịp hành động theo MOV-01 và state đã nhận, không giật hay lệch sprite.
3. Không ảnh hưởng collider, tốc độ di chuyển hoặc xử lý network; không missing reference, không material hồng; có video/ảnh hoặc scene demo để nghiệm thu.</t>
  </si>
  <si>
    <t>Assets!3; Hero</t>
  </si>
  <si>
    <t>ART-02</t>
  </si>
  <si>
    <t>World &amp; Art</t>
  </si>
  <si>
    <t>Tích hợp tileset và Hard Cover có sẵn từ JSurviv</t>
  </si>
  <si>
    <t>Việc cần làm:
- Kiểm kê tileset/ground/props tại Assets/Imported/JSurviv/Palette, Sprites/TileMap_dat, Sprites/Maps, Sprites/OBSTACLES và Sprites/Art_New. Chọn những sprite phù hợp phong cách pixel art và map Lastaway; nhiều map cũ (đường phố, trong nhà, sân thượng) chỉ là nguồn tham khảo, không tự động dùng nguyên layout.
- Thay phần hình ảnh placeholder của bốn prefab đang có tại Assets/_JungleMaze/Prefabs/Obstacles: AncientPillar, CityWall, BoulderRock, AncientStatue. Ưu tiên sprite tương ứng; nếu nguồn không có hình đúng loại hoặc chất lượng chưa đạt, ghi thiếu và đề xuất chỉnh sửa/thay thế thay vì giả định đã đủ.
- Chuẩn hóa Pixels Per Unit, pivot, kích thước so với cell 48px, tile seam và sorting. Dùng tile/palette cho map 50×50 nhưng không kéo giãn sprite khác chuẩn làm mờ pixel.
Ranh giới: Hào sở hữu ENV-01 và ART-02; giữ collider/tag LOS/chặn đạn từ ENV-01, chỉ bổ sung renderer/visual child. MAP-02 quyết layout, không lấy nguyên layout JSurviv để thay thiết kế mới.
Làm độc lập: dựng scene so sánh graybox và bản đã gắn sprite, kiểm từng prefab.</t>
  </si>
  <si>
    <t>Hoàn thành khi:
1. Có danh sách tileset/cover được chọn, đường dẫn nguồn và các hình còn thiếu/không phù hợp.
2. Bốn prefab Hard Cover hiển thị đúng kích thước/tỷ lệ/pivot trên grid 48px; bản đồ nền không mờ, lỗi seam hoặc sai sorting rõ rệt.
3. Test di chuyển, đạn và LOS từ ENV-01 vẫn giữ nguyên sau khi thay hình; không lỗi material/reference, có scene minh họa.</t>
  </si>
  <si>
    <t>Assets!4–5; MAP DESIGN!3–14; Obstacles</t>
  </si>
  <si>
    <t>ART-03</t>
  </si>
  <si>
    <t>Tái sử dụng hình ảnh rương, môi trường và vật tương tác</t>
  </si>
  <si>
    <t>Việc cần làm:
- Kiểm kê prefab/sprite sẵn có: Assets/Imported/JSurviv/Prefabs/Destructibles (CHEST1/2/3, Bình Hoa, DragonEgg...), Prefabs/Obstacles/CanGoThrough (Bush, POND, PORTAL...), Prefabs/Indestructibles (LAVA...), Sprites/OBSTACLES và AnimatorControllers (Pot, PORTAL, LAVA...). Cửa đá có script tham khảo StoneDoor.cs; chỉ lấy hình/animation nếu phù hợp.
- Chọn visual cho rương/chum/bụi, đầm lầy/lava, portal, cửa đá và trứng rồng (nếu dùng). Đối chiếu từng món với GDD; tên prefab cũ có thể khác, không coi mọi prefab là đúng cơ chế mới. Nếu thiếu trạng thái phá vỡ/kích hoạt, chỉ tạo animation hoặc frame bổ sung cần thiết.
- Tạo visual child/prefab phiên bản Lastaway cho các hệ ENV-02, ENV-03 và DRG-01; ánh xạ event như Damaged, Broken, Activated, Teleported sang sprite/animation.
Ranh giới: Quang Huy sở hữu ENV-02/03 và ART-03, tự tích hợp visual với hazard/destructible. Không port logic damage, loot, cooldown hoặc mạng cũ từ JSurviv. Không sửa trực tiếp prefab nằm trong Imported/JSurviv.
Làm độc lập: dùng event giả để trình diễn rương vỡ, portal hoạt động, hazard và trạng thái môi trường.</t>
  </si>
  <si>
    <t>Hoàn thành khi:
1. Có bảng đối chiếu vật thể GDD ↔ prefab/sprite JSurviv (dùng được / cần chỉnh / thiếu), có đường dẫn cụ thể.
2. Demo được visual thường, phá vỡ/kích hoạt của các vật thể được chọn; không missing reference, không lỗi sorting, scale hoặc material.
3. Khi nối ENV-02/03/DRG-01, event game làm hình đổi đúng nhưng collider, HP, loot và trigger vẫn do hệ thống kỹ thuật quyết định.</t>
  </si>
  <si>
    <t>Assets!5; Obstacles; MAP DESIGN</t>
  </si>
  <si>
    <t>ART-04</t>
  </si>
  <si>
    <t>UI/UX &amp; Art</t>
  </si>
  <si>
    <t>Tích hợp icon JSurviv vào HUD và Inventory</t>
  </si>
  <si>
    <t>Việc cần làm:
- Lấy sprite/icon từ Assets/Imported/JSurviv/Sprites/WEAPONS, Sprites/EQUIPMENTS, Sprites/UI/GamePlay/elements và prefab UI cũ để tham khảo. Repo đã có nhiều thư mục đúng tên vũ khí GDD và đồ hỗ trợ, nhưng chưa xác nhận có đủ icon dùng được cho chính xác 18 vũ khí và 16 trang bị; phải kiểm từng ID, gồm đồ cũ đổi tên và Tay không.
- Tạo bảng WeaponId/EquipmentId → Sprite/Icon và đánh dấu Đã có / Cần cắt hoặc chỉnh / Thiếu. Chuẩn hóa hình ở độ phân giải UI, alpha, pivot và kích thước; dùng lại các nút/khung HUD cũ chỉ khi phù hợp bố cục 16:9 mới.
- Tích hợp trực tiếp vào HUD của UI-01: 4 ô vũ khí, 4 ô dược, chọn món, số lượng/đạn và icon item sàn. Dùng dữ liệu giả để kiểm trước, sau đó nhận item/slot/amount từ ITM-01.
Ranh giới: V.Huy sở hữu UI-01/UI-02 và ART-04 nên chịu trách nhiệm UI prefab/Canvas và image binding; Hào quản lý vũ khí và Quang Huy cung cấp ID/trạng thái inventory. Không tái sử dụng nguyên logic màn hình cũ gắn với Socket.IO.
Làm độc lập: demo HUD và inventory bằng mock item data, không cần server loot chạy xong.
Lưu ý kiểm kê: JSurviv có 17 prefab vũ khí cầm/ném/đặc biệt tương ứng; vũ khí thứ 18 HAND (tay không) không cần prefab, nhưng HUD vẫn cần icon/biểu tượng mặc định nếu xuất hiện trong slot. Không báo thiếu asset vũ khí chỉ vì không có HAND.prefab.</t>
  </si>
  <si>
    <t>Hoàn thành khi:
1. Có bảng đối chiếu đủ 18 weapon ID và 16 equipment ID với nguồn sprite, ghi rõ những icon chưa đủ hoặc cần vẽ/chỉnh; không nhận là hoàn tất nếu còn ID thiếu mà không có phương án.
2. HUD/inventory 16:9 hiển thị rõ icon, số lượng, slot đang chọn và item sàn; thay ID trong mock data thì đúng sprite tương ứng.
3. UI kết nối ITM-01/CLI-04 không cần sửa logic quản lý item; không dùng icon sai tên, không blur nặng hay missing reference.</t>
  </si>
  <si>
    <t>Assets!6,8; Weapons; Equipments; WIREFRAME!7–8</t>
  </si>
  <si>
    <t>ART-05</t>
  </si>
  <si>
    <t>Kiểm kê và đưa âm thanh JSurviv vào AudioManager</t>
  </si>
  <si>
    <t>Việc cần làm:
- Kiểm kê thư mục Assets/Imported/JSurviv/Sound: đã thấy các file như melee chém.mp3, súng bắn.mp3, bomb nổ.mp3, Bo co.mp3, countdown.mp3, nhặt súng.mp3, TimeOver.wav và các file âm thanh khác. Cũng đã có Loading Music.mp3, ParkingMapMusic.mp3, Waiting Room Music.wav; việc BGM có thuộc MVP hay không vẫn theo GDD chưa chốt.
- Đối chiếu từng trong 26 SFX của kế hoạch với file thật: Đã có / Cần chỉnh / Thiếu; không mặc định có đủ 26 file chỉ vì repo có folder Sound. Kiểm chất lượng, duration, âm lượng, cách dùng và nguồn/license. Chuẩn hóa tên/mapping EventId → AudioClip, thêm file mới hoặc placeholder chỉ khi thiếu.
- Đưa audio clip vào AudioManager/AudioMixer của AUD-01, ưu tiên hitmarker, nhận damage, bắn, melee, loot, cảnh báo zone và rồng. Nếu dùng BGM, bố trí playback/menu/lobby/in-game theo rule đã duyệt.
Ranh giới: V.Huy sở hữu cả AUD-01 và ART-05: tự làm import, mapping, volume và playback, không chuyển việc này cho Quang Huy. Không sửa mã nguồn audio/network cũ từ JSurviv khi dùng lại clip.
Làm độc lập: phát từng clip bằng bảng event giả rồi thay vào event thật.</t>
  </si>
  <si>
    <t>Hoàn thành khi:
1. Có bảng 26 SFX đối chiếu file thực tế, trạng thái dùng được/thiếu, nguồn và tình trạng quyền sử dụng; không khẳng định license khi chưa kiểm chứng.
2. Các event ưu tiên phát đúng clip, điều chỉnh Master/SFX (và Music nếu bật) có hiệu lực; không lặp audio khi event gửi lại.
3. BGM chỉ tích hợp khi được duyệt; không có nhạc chồng nhau/che mất cảnh báo chiến thuật, không missing AudioClip.</t>
  </si>
  <si>
    <t>Assets!11–16</t>
  </si>
  <si>
    <t>INF-02</t>
  </si>
  <si>
    <t>Giai đoạn 3</t>
  </si>
  <si>
    <t>Đưa server lên AWS và kiểm tra đường truyền thực tế</t>
  </si>
  <si>
    <t>Việc cần làm:
- Triển khai Docker trên EC2 hiện có với Caddy/DuckDNS/TLS, UDP 7777 chính và WSS /game qua HTTPS 443 dự phòng. Chỉ công khai 80/443 và UDP 7777; API 5000, DB và control nội bộ.
- Tạo checklist start/stop EC2, kiểm DNS/TLS/firewall, lưu log và chi phí. Giữ Local/LAN chạy trên PC độc lập với AWS.
Ranh giới: INF-02 sở hữu deployment và network tuyến thật; BLD-01 sở hữu Windows client build, SRV-03 sở hữu game logic.
Làm song song: triển khai dummy server/ping-pong trước; thay bằng server trận thật khi sẵn sàng.</t>
  </si>
  <si>
    <t>Hoàn thành khi:
1. Hai máy từ hai mạng Internet kết nối/chơi được qua UDP; chặn UDP vẫn dùng WSS với chứng chỉ hợp lệ.
2. Có test LAN riêng và log endpoint/transport/RTT; API/DB không mở public trái thiết kế.
3. Sau buổi test xác nhận EC2 Stopped, ghi EBS/usage và hướng dẫn khởi động lại.</t>
  </si>
  <si>
    <t>OVERVIEW!16–20; TEST &amp; BALANCE!3,7–10</t>
  </si>
  <si>
    <t>BOT-01</t>
  </si>
  <si>
    <t>Testing</t>
  </si>
  <si>
    <t>Bot giả lập 10 người để đo tải multiplayer</t>
  </si>
  <si>
    <t>Việc cần làm:
- Xây 10 synthetic client C# gửi input di chuyển/tấn công/nhặt theo cùng packet schema thật; nhận snapshot/event. Chạy từng chế độ UDP và WSS, ghi CPU/RAM/băng thông, tick p95/p99, tốc độ phát snapshot, RTT/jitter/loss.
- Tách bài benchmark server khỏi playtest người thật; tạo báo cáo có build/config, thời gian chạy, số bot và lỗi đồng bộ.
Ranh giới: BOT-01 chỉ đo tải và phát hiện lỗi protocol/performance; QA-01 kiểm trải nghiệm và balance, TEL-01 ghi analytics.
Làm song song: chạy bot với fake/basic server trước; khi SRV-03, WPN-02, ITM-01 tích hợp thì thay sang gameplay thật.</t>
  </si>
  <si>
    <t>Hoàn thành khi:
1. Bot thực sự gửi input/nhận state, không dùng ping/pong thay cho test gameplay; đủ 10 phiên theo phòng.
2. Có kết quả ở RTT 50/100ms, jitter 20ms, loss 1/3%, mục tiêu tick p95 &lt;33,3ms; báo đạt/trượt và thông số máy.
3. So sánh được kết quả UDP/WSS; packet trùng không tạo damage/loot trùng; chỉ chạy lượt AWS được duyệt.</t>
  </si>
  <si>
    <t>CLI-02, SRV-02</t>
  </si>
  <si>
    <t>TEST &amp; BALANCE!7–10,21–22</t>
  </si>
  <si>
    <t>WPN-03</t>
  </si>
  <si>
    <t>Vũ khí ném và vũ khí đặc biệt</t>
  </si>
  <si>
    <t>Việc cần làm:
- Phát triển 5 vũ khí ném và 3 đặc biệt theo Weapons. Client gửi ý định dùng/ngắm có sequence; module riêng tính fuse, vùng nổ, trigger bẫy và kéo/đẩy; server xác nhận hit/effect qua WPN-02/Game-10.
- Case cần đủ: Chuối nổ rồi để bẫy stun 1s; Dây thừng kéo địch hoặc kéo mình đến vật cản; Hạt root 1,5s nhưng vẫn đánh được; Gậy đánh bóng đẩy 3 cell/stun 2s khi va; Chuông đảo WASD 10s; Bom khói che 10s theo luật visibility đang chờ chốt.
Ranh giới: WPN-03 sở hữu luật kích hoạt từng món; WPN-02 sở hữu HP/damage, Game-10 sở hữu effect, FOW-01 quyết cách che, VFX-01 vẽ particle/cảnh báo.
Làm song song: viết module cho từng vũ khí bằng fake damage/effect/visibility và camera thử độc lập; tích hợp về sau.</t>
  </si>
  <si>
    <t>Hoàn thành khi:
1. Demo/unit test đầy đủ 8 món theo config, đặc biệt hai mode Rope, Banana trap, Seed root, Bat knockback.
2. Event/request lặp không tiêu charge, tạo bẫy, stun hay damage hai lần; client không tự quyết HP/effect.
3. Khi tích hợp, hai client thấy cùng nổ/khói/kéo/CC; smoke tuân policy đã duyệt hoặc vẫn đánh dấu open decision.</t>
  </si>
  <si>
    <t>CLI-03, CLI-04</t>
  </si>
  <si>
    <t>Weapons!13–20; Equipments!14–18</t>
  </si>
  <si>
    <t>FOW-01</t>
  </si>
  <si>
    <t>Fog of War và vùng nhìn có tính đến sprite JSurviv</t>
  </si>
  <si>
    <t>Việc cần làm:
- Dựng FOW/LOS cho bán kính nhìn baseline 12 cell, dùng collider/tag cover của ENV-01. Khi hiển thị bụi và khói, tham khảo Bush prefab và SmokeVfx hiện có trong Assets/Imported/JSurviv nhưng chỉ lấy visual phù hợp; bộ render hiệu ứng khói do VFX-01 sở hữu.
- Có visibility policy phân biệt: ngoài bán kính, bị vật cản chắn, trong bụi, trong khói và lộ khi bắn. Những luật khói/ẩn thân chưa chốt lấy từ config, không mặc định theo JSurviv cũ.
- Cung cấp interface visibility cho UI/VFX; phối hợp SRV-03 nếu cần lọc state gửi theo người xem. Shader client không phải cơ chế chống xem lén dữ liệu mạng.
Ranh giới: Quang Huy sở hữu FOW-01 và các module môi trường; Vũ/VFX-01 phụ trách particle khói, Hào/WPN-03 phát sự kiện smoke, SRV-03 lọc state authoritative.
Làm độc lập: demo với giả lập target/cover/smoke/shoot trước khi nối gameplay.</t>
  </si>
  <si>
    <t>Hoàn thành khi:
1. Test đúng sau cover, trong bụi, ngoài bán kính và trong khói theo từng policy; source visual không gây lộ người ẩn qua particle/UI.
2. Dùng được bush/smoke visual JSurviv đã chọn hoặc ghi lý do không dùng; không sửa gameplay collider hay copy script mạng cũ.
3. Nếu cần server visibility, có test end-to-end với SRV-03; không đánh dấu chống cheat hoàn thành chỉ dựa trên render client.</t>
  </si>
  <si>
    <t>MAP DESIGN!6–7; Weapons!14; Obstacles</t>
  </si>
  <si>
    <t>TEL-01</t>
  </si>
  <si>
    <t>Ghi sự kiện trận để phân tích và cân bằng</t>
  </si>
  <si>
    <t>Việc cần làm:
- Chuẩn hóa schema 18 event/metrics theo GDD: TTK, FPS, nguồn gây chết, chết do bo, thời gian dùng vật phẩm, loot và hành vi ẩn nấp. Mỗi event có match ID, tick/time, build/config version và ID weapon/item nếu liên quan.
- Ghi log/thu thập về server hoặc file thống nhất, xuất bảng đủ để team so sánh các lượt playtest.
Ranh giới: TEL-01 chỉ đo và báo cáo; WPN/ITM/SRV quyết kết quả gameplay, NET-02 chỉ lưu kết quả sau trận; QA-01 quyết định điều chỉnh balance.
Làm song song: chạy event giả và tạo báo cáo mẫu trước khi gameplay hoàn chỉnh.</t>
  </si>
  <si>
    <t>Hoàn thành khi:
1. 18 event đúng schema, không mất/nhân bản sự kiện khi reconnect hoặc event lặp.
2. Báo cáo phân tích được TTK theo vũ khí, tỷ lệ chết vì bo, loot/CC cùng version config.
3. Telemetry không làm nghẽn server tick; QA-01 đọc được dữ liệu để so sánh trước/sau chỉnh.</t>
  </si>
  <si>
    <t>TEST &amp; BALANCE!3–18,21–22</t>
  </si>
  <si>
    <t>QA-01</t>
  </si>
  <si>
    <t>Kiểm thử tích hợp 10 người và vòng cân bằng gameplay</t>
  </si>
  <si>
    <t>Việc cần làm:
- Bắt đầu từ đầu Phase 3 bằng smoke test các bản build nhỏ: join/rời phòng, di chuyển, bắn, nhặt, zone, mất mạng. Ghi lỗi và trả về owner ngay, không chờ tất cả task xong mới test.
- Khi có build RC: tổ chức 10 người thật chơi trận baseline 7 phút trên LAN và AWS từ ≥2 mạng, kiểm UDP/WSS/Auto, đủ VS-01…VS-38, hiệu năng avg FPS ≥55, 1% low ≥40, tick p95 mục tiêu &lt;33,3ms.
- Sau playtest ghi quan sát → đề xuất → người duyệt/để mở → chỉnh config/code → regression. Theo dõi TTK, counterplay CC, loot economy, geometry bo r25, đường rút và endgame. Quy tắc chưa chốt vẫn được tracking nhưng không coi đã phê duyệt.
Ranh giới: QA-01 điều phối test và kết luận chất lượng; BOT-01 đo tải kỹ thuật, TEL-01 cung cấp số liệu, từng owner sửa lỗi hệ thống của mình.
Làm song song: viết test case, checklist và chạy smoke test từ khi có từng module; chỉ bài Full Match cuối cần đủ INF-02, BLD-01, BOT-01, MOV-03, WPN-02/03, ITM-01, ZON-01, FOW-01, VFX-01, TEL-01.
Bổ sung trường hợp kiểm thử bắt buộc: người chơi Guest vào bằng RoomCode không cần login, chủ phòng đăng nhập mới được tạo/xóa; hai Guest cùng nickname không trộn lịch sử; thứ hạng trận không phụ thuộc Mongo/API; API lỗi không ngăn join, các kết quả server gửi trùng chỉ được lưu một lần. Nếu bật GuestProfile dài hạn, thử khôi phục/giả mạo trên hai thiết bị và kiểm quyền sở hữu qua kênh an toàn.</t>
  </si>
  <si>
    <t>Hoàn thành khi:
1. Có log smoke/integration theo build và owner, mọi lỗi blocker có kết quả retest.
2. Full match 10 người hoàn tất, không lẫn phòng/nhân loot/damage, người thứ 11 bị từ chối; có báo cáo LAN/AWS/UDP/WSS/Auto và loss/jitter.
3. Với các bài balance: có quan sát, quyết định (kể cả chưa chốt), người chịu trách nhiệm, version thay đổi và kiểm thử lại; báo rõ các mục chưa đạt, không tự đóng QA khi còn blocker.
4. Có bằng chứng test Guest/Creator/JWT, xếp hạng trong trận, lưu lịch sử khi online và fallback khi DB/API tắt; ghi rõ tính năng guest progress xuyên trận đã có hoặc còn để mở.</t>
  </si>
  <si>
    <t>All</t>
  </si>
  <si>
    <t>TEST &amp; BALANCE!3–22; WIREFRAME</t>
  </si>
  <si>
    <t>VFX-01</t>
  </si>
  <si>
    <t>Tận dụng prefab VFX JSurviv cho giao tranh và Safe Zone</t>
  </si>
  <si>
    <t>Việc cần làm:
- Kiểm tra các prefab hiện có tại Assets/Imported/JSurviv/Prefabs/VFX, gồm SmokeVfx, StunnedVfx, ImmortalVfx, BananaExploitVfx, MeteoExploitVfx, BellExploit, SeedExploit, ReverseVfx... và bộ Epic Toon FX. Chọn hiệu ứng phù hợp pixel-art 2D; các hiệu ứng quá rối/sai phong cách thì chỉnh hoặc thay, không dùng nguyên prefab chỉ vì nó tồn tại.
- Tạo VFX prefab/adapter mới ở _JungleMaze, gắn event AttackStarted, HitConfirmed, Explosion, Status, ZoneState, xử lý hit flash, damage text, particle, screen shake và bo tím alpha 0,4 theo trạng thái server.
- Tái dùng object pool của CLI-03; đối soát predicted VFX với event authoritative để không phát đôi. Dùng policy FOW-01 trước khi hiển thị dấu hiệu có thể làm lộ mục tiêu.
Ranh giới: Vũ sở hữu pooling và VFX-01 nên phụ trách runtime, prefab VFX và vòng đời hiệu ứng; Hào/WPN-03 sở hữu logic vũ khí, Quang Huy/FOW-01 sở hữu visibility policy, V.Huy/UI-01 sở hữu HUD. Không port damage/CC cũ.
Làm độc lập: kiểm từng prefab bằng fake gameplay event trước khi nối WPN/ZON/FOW.</t>
  </si>
  <si>
    <t>Hoàn thành khi:
1. Có danh sách VFX JSurviv dùng lại/chỉnh/loại bỏ và scene trình diễn ít nhất hit, stun, smoke, explosion, warning và viền bo.
2. Event lặp/rollback không nhân hiệu ứng; pool thu hồi chính xác, không lưu effect sau đổi phòng.
3. Hiệu ứng đúng 2D/URP, không sai scale/layer/material và không tiết lộ người đang bị FOW che.</t>
  </si>
  <si>
    <t>Assets!7,9; WIREFRAME!13–15; Weapons</t>
  </si>
  <si>
    <t>BLD-01</t>
  </si>
  <si>
    <t>Đóng gói client Windows dùng chung cho Local/LAN/AWS</t>
  </si>
  <si>
    <t>Việc cần làm:
- Tạo quy trình build Windows x64 có file config ngoài .exe: host/port/API, Udp/Wss/Auto, webSocketUrl. Không nhúng JWT, password, secret hoặc RoomCode mặc định.
- Có build dev/smoke để team kiểm sớm; khi tích hợp MOV-02/03 và INF-02 thì phát hành bản RC cho QA.
Ranh giới: BLD-01 sở hữu build, cấu hình và cách chạy trên Windows; INF-02 sở hữu AWS/ports, MOV-02 sở hữu fallback transport và gameplay sync.
Làm song song: tạo script đóng gói/bản demo basic từ đầu, không đợi Phase 2 hoàn tất.</t>
  </si>
  <si>
    <t>Hoàn thành khi:
1. Cùng một .exe chạy trên PC Windows thứ hai và đổi endpoint mà không rebuild.
2. Bản RC chạy LAN UDP, AWS UDP/WSS/Auto; chặn UDP fallback WSS, mã sai/phòng đầy không fallback.
3. Kèm README, config mẫu không chứa secret và ghi build version/known issues để QA tái hiện lỗi.</t>
  </si>
  <si>
    <t>INF-01, CLI-01</t>
  </si>
  <si>
    <t>OVERVIEW!16–20; TEST &amp; BALANCE!3,9–10</t>
  </si>
  <si>
    <t>BẢNG PHÂN CÔNG</t>
  </si>
  <si>
    <t>Cả Team (Playtest): Tím nhạt</t>
  </si>
  <si>
    <t>Quy ước Status: Not Yet · In Progress · Done · Blocked. Độ ưu tiên: P0 (Bắt buộc cho Core Loop) · P1 (Tính năng gameplay chính) · P2 (Mở rộng &amp; Tối ưu hóa).</t>
  </si>
  <si>
    <t>Task</t>
  </si>
  <si>
    <t>Sub Task</t>
  </si>
  <si>
    <t>Short Description</t>
  </si>
  <si>
    <t>Ref</t>
  </si>
  <si>
    <t>Trạng thái</t>
  </si>
  <si>
    <t>Role</t>
  </si>
  <si>
    <t>Nhân vật được người chơi điều khiển trực tiếp; đối thủ cũng là Hero của người chơi khác.</t>
  </si>
  <si>
    <t>Đã thống nhất</t>
  </si>
  <si>
    <t>Logic</t>
  </si>
  <si>
    <t>Di chuyển, tương tác, dùng trang bị, nhận sát thương và bị loại. Chi tiết thao tác/luật tại Hero.</t>
  </si>
  <si>
    <t>Cần rà soát điều khiển</t>
  </si>
  <si>
    <t>Các công cụ tấn công và tạo lợi thế; nhiều loại vũ khí, không giới hạn ở bom.</t>
  </si>
  <si>
    <t>Đã thống nhất phạm vi</t>
  </si>
  <si>
    <t>Mỗi loại có hành vi, giới hạn tài nguyên và cách đối phó riêng; roster mới chưa chốt.</t>
  </si>
  <si>
    <t>Chưa chốt danh sách</t>
  </si>
  <si>
    <t>Equipments</t>
  </si>
  <si>
    <t>Trang bị phòng thủ, hồi phục và công cụ hỗ trợ sinh tồn.</t>
  </si>
  <si>
    <t>Định hướng</t>
  </si>
  <si>
    <t>Hiệu quả, thời gian dùng và giới hạn mang theo từng món; số liệu cũ chỉ để tham khảo.</t>
  </si>
  <si>
    <t>Baseline cũ - chưa duyệt</t>
  </si>
  <si>
    <t>Loot Item</t>
  </si>
  <si>
    <t>Vật phẩm có thể nhận, mang, dùng, thay hoặc bỏ.</t>
  </si>
  <si>
    <t>Nguồn nhận–tiêu tại ITEM LIST; phân bố và tỷ lệ tại ECONOMIC. Giới hạn túi tại Hero.</t>
  </si>
  <si>
    <t>Chưa chốt cấu hình mới</t>
  </si>
  <si>
    <t>Obstacles / Containers</t>
  </si>
  <si>
    <t>Vật che chắn, vật chứa loot, địa hình nguy hiểm và tương tác.</t>
  </si>
  <si>
    <t>Mỗi object khai báo riêng va chạm, khả năng phá, chắn tầm nhìn và tương tác vũ khí.</t>
  </si>
  <si>
    <t>Cần rà soát theo concept</t>
  </si>
  <si>
    <t>MAP DESIGN / Pressure</t>
  </si>
  <si>
    <t>Không gian chứa các object và tạo cơ hội loot, phục kích, giao tranh hoặc rút lui.</t>
  </si>
  <si>
    <t>Bố cục, đường đi, spawn, điểm nóng và áp lực di chuyển cùng phục vụ nhịp trận.</t>
  </si>
  <si>
    <t>Chưa chốt layout</t>
  </si>
  <si>
    <t>Match</t>
  </si>
  <si>
    <t>Điều kiện thắng, bị loại, hòa và vòng chơi lại cần chốt. Last Player Standing là phương án thảo luận.</t>
  </si>
  <si>
    <t>Chưa chốt</t>
  </si>
  <si>
    <t>Online</t>
  </si>
  <si>
    <t>Kết quả nhặt đồ/sát thương/loại người nhất quán; reconnect và phạm vi thông tin cần được thiết kế.</t>
  </si>
  <si>
    <t>Yêu cầu sản phẩm</t>
  </si>
  <si>
    <t>Nhân vật do người chơi trực tiếp điều khiển; sống sót nhờ quyết định và phối hợp trang bị.</t>
  </si>
  <si>
    <t>Movement</t>
  </si>
  <si>
    <t>WASD di chuyển tự do; chuẩn hóa vector chéo; va chạm với vật cản. Điều khiển chi tiết cần duyệt cho concept mới.</t>
  </si>
  <si>
    <t>MATCH DESIGN DATA</t>
  </si>
  <si>
    <t>Direction / Action</t>
  </si>
  <si>
    <t>Chuột chọn hướng hoặc vị trí hành động theo loại vũ khí; không lấy độ chính xác bắn súng làm trọng tâm.</t>
  </si>
  <si>
    <t>Attributes</t>
  </si>
  <si>
    <t>HP, tốc độ, collider và tầm nhìn lấy tại MATCH DESIGN DATA. Không sao chép chỉ số sang luật.</t>
  </si>
  <si>
    <t>Quy ước</t>
  </si>
  <si>
    <t>Inventory</t>
  </si>
  <si>
    <t>Có vũ khí, trang bị và vật tư; số khe và giới hạn mang cần chốt lại.</t>
  </si>
  <si>
    <t>Player Actions</t>
  </si>
  <si>
    <t>Interact / Loot</t>
  </si>
  <si>
    <t>F là phím tương tác baseline. Khi có nhiều món gần nhau phải chọn được mục tiêu; tự nhặt/thay đồ chưa chốt.</t>
  </si>
  <si>
    <t>Use Weapon</t>
  </si>
  <si>
    <t>Hành vi theo từng loại vũ khí: cận chiến, ném, đặt hoặc kích hoạt. Danh sách nhóm cụ thể chưa chốt.</t>
  </si>
  <si>
    <t>Đề xuất nhóm</t>
  </si>
  <si>
    <t>Switch / Drop</t>
  </si>
  <si>
    <t>Đổi món đang dùng và vứt món mang theo. Phím số/lăn chuột, RMB trên ô HUD là baseline; bố cục túi mới chưa chốt.</t>
  </si>
  <si>
    <t>Use Supply</t>
  </si>
  <si>
    <t>Chọn vật tư → thực hiện hành động → nhận hiệu quả; thời gian dùng và điều kiện hủy định nghĩa theo món.</t>
  </si>
  <si>
    <t>Đề xuất - chưa chốt</t>
  </si>
  <si>
    <t>Feedback</t>
  </si>
  <si>
    <t>Di chuyển, tương tác, gây/nhận sát thương và dùng đồ đều có phản hồi để biết hành động đã xảy ra.</t>
  </si>
  <si>
    <t>Nguyên tắc</t>
  </si>
  <si>
    <t>Health / Elimination</t>
  </si>
  <si>
    <t>Bản cũ HP về 0 thì bị loại, đồ mang rơi tại chỗ. Cần chốt ngoại lệ cứu mạng cùng Equipments.</t>
  </si>
  <si>
    <t>Healing / Armor</t>
  </si>
  <si>
    <t>Quy tắc giảm sát thương và dùng đồ xem Equipments. Stun/root/slow phải có luật chặn/hủy hành động rõ ràng.</t>
  </si>
  <si>
    <t>Chưa chốt tương tác</t>
  </si>
  <si>
    <t>Information</t>
  </si>
  <si>
    <t>Người chơi nhận thông tin theo tầm nhìn/âm thanh/công cụ đã chốt; thông tin quan sát sau khi bị loại cần giới hạn.</t>
  </si>
  <si>
    <t>Cần thiết kế</t>
  </si>
  <si>
    <t>Disconnect / Quit</t>
  </si>
  <si>
    <t>Cần chốt nhân vật lúc mất mạng, grace reconnect và xử lý quit; không tự kế thừa quy tắc LAN.</t>
  </si>
  <si>
    <t>Online Consistency</t>
  </si>
  <si>
    <t>Nhặt đồ, sát thương và loại người thống nhất giữa client; thông số/công nghệ mạng để tài liệu kỹ thuật.</t>
  </si>
  <si>
    <t>TEST &amp; BALANCE</t>
  </si>
  <si>
    <t>Tên cũ</t>
  </si>
  <si>
    <t>Code ID</t>
  </si>
  <si>
    <t>Nhóm</t>
  </si>
  <si>
    <t>Cơ chế tham khảo</t>
  </si>
  <si>
    <t>Chỉ số baseline</t>
  </si>
  <si>
    <t>Nguồn / Trọng số cũ</t>
  </si>
  <si>
    <t>Tay không</t>
  </si>
  <si>
    <t>HAND</t>
  </si>
  <si>
    <t>Cận chiến</t>
  </si>
  <si>
    <t>Tay không mặc định; dùng tự vệ và phá vật chứa trong bản cũ.</t>
  </si>
  <si>
    <t>DMG 8; CD 0.5s; tầm 1 cell; cung 90°; stun -</t>
  </si>
  <si>
    <t>Trọng số/nguồn cũ: -</t>
  </si>
  <si>
    <t>Cành cây</t>
  </si>
  <si>
    <t>TREE_BRANCH</t>
  </si>
  <si>
    <t>Cận chiến tầm ngắn, dùng vô hạn.</t>
  </si>
  <si>
    <t>DMG 18; CD 0.6s; tầm 1.6 cell; cung 90°; stun -</t>
  </si>
  <si>
    <t>Trọng số/nguồn cũ: 25</t>
  </si>
  <si>
    <t>Dao</t>
  </si>
  <si>
    <t>KNIFE</t>
  </si>
  <si>
    <t>Cận chiến nhanh, cung hẹp.</t>
  </si>
  <si>
    <t>DMG 22; CD 0.45s; tầm 1.4 cell; cung 70°; stun -</t>
  </si>
  <si>
    <t>Xương</t>
  </si>
  <si>
    <t>BONE</t>
  </si>
  <si>
    <t>Cận chiến cung rộng.</t>
  </si>
  <si>
    <t>DMG 30; CD 0.8s; tầm 1.4 cell; cung 110°; stun -</t>
  </si>
  <si>
    <t>Rìu</t>
  </si>
  <si>
    <t>AXE</t>
  </si>
  <si>
    <t>Cận chiến; thêm 50% sát thương lên vật phá được trong bản cũ.</t>
  </si>
  <si>
    <t>DMG 42; CD 1s; tầm 1.8 cell; cung 100°; stun -</t>
  </si>
  <si>
    <t>Chuỳ gai</t>
  </si>
  <si>
    <t>MACE</t>
  </si>
  <si>
    <t>Cận chiến kèm stun; nguồn tiếp tế trong bản cũ.</t>
  </si>
  <si>
    <t>DMG 60; CD 1.2s; tầm 2.2 cell; cung 120°; stun 1,0s</t>
  </si>
  <si>
    <t>Trọng số/nguồn cũ: Chỉ có trong Thính</t>
  </si>
  <si>
    <t>Ná cao su</t>
  </si>
  <si>
    <t>RUBBER_GUN</t>
  </si>
  <si>
    <t>Xạ chiến cũ</t>
  </si>
  <si>
    <t>Bắn tầm ngắn; nạp 1,2s trong bản cũ.</t>
  </si>
  <si>
    <t>DMG 15; nhịp 3/s; tầm 6; tốc đạn 18; băng 12; dự trữ 60</t>
  </si>
  <si>
    <t>Trọng số/nguồn cũ: 30</t>
  </si>
  <si>
    <t>Chờ quyết định giữ/đổi</t>
  </si>
  <si>
    <t>Quyền trượng</t>
  </si>
  <si>
    <t>SCEPTER</t>
  </si>
  <si>
    <t>Bắn tầm xa; nạp 1,8s trong bản cũ.</t>
  </si>
  <si>
    <t>DMG 17; nhịp 2/s; tầm 12; tốc đạn 20; băng 10; dự trữ 50</t>
  </si>
  <si>
    <t>Nỏ</t>
  </si>
  <si>
    <t>CROSSBOW</t>
  </si>
  <si>
    <t>Đạn bay chậm; nạp 2,2s trong bản cũ.</t>
  </si>
  <si>
    <t>DMG 34; nhịp 1.2/s; tầm 9; tốc đạn 16; băng 6; dự trữ 30</t>
  </si>
  <si>
    <t>Trọng số/nguồn cũ: 20</t>
  </si>
  <si>
    <t>Shotgun</t>
  </si>
  <si>
    <t>SHOTGUN</t>
  </si>
  <si>
    <t>5 viên ghém, tỏa 25°; nạp 2,8s trong bản cũ.</t>
  </si>
  <si>
    <t>DMG 9 × 5 viên = 45; nhịp 0.8/s; tầm 4; tốc đạn 24; băng 4; dự trữ 20</t>
  </si>
  <si>
    <t>Trọng số/nguồn cũ: Thính + 8% trên map</t>
  </si>
  <si>
    <t>Chuối</t>
  </si>
  <si>
    <t>BANANA</t>
  </si>
  <si>
    <t>Ném</t>
  </si>
  <si>
    <t>Nổ rồi để lại bẫy gây stun 1s.</t>
  </si>
  <si>
    <t>DMG 30; CD 1s; ngòi 1.5s; tầm 8; vùng 3×3; mang 3</t>
  </si>
  <si>
    <t>Bom khói</t>
  </si>
  <si>
    <t>SMOKE</t>
  </si>
  <si>
    <t>Tạo khói 10s, che người bên trong; cách che tầm nhìn cần chốt.</t>
  </si>
  <si>
    <t>DMG 0; CD 1s; ngòi 1s; tầm 6; vùng 7×7; mang 2</t>
  </si>
  <si>
    <t>Mảnh thiên thạch</t>
  </si>
  <si>
    <t>METEORITE_FRAGMENT</t>
  </si>
  <si>
    <t>Nổ gây sát thương vùng.</t>
  </si>
  <si>
    <t>DMG 35; CD 1s; ngòi 1.5s; tầm 8; vùng 3×3; mang 3</t>
  </si>
  <si>
    <t>Tinh thể</t>
  </si>
  <si>
    <t>CRYSTAL</t>
  </si>
  <si>
    <t>Nổ gây sát thương vùng; cần phân biệt vai trò với Mảnh thiên thạch.</t>
  </si>
  <si>
    <t>DMG 45; CD 1s; ngòi 1.5s; tầm 7; vùng 3×3; mang 2</t>
  </si>
  <si>
    <t>Trọng số/nguồn cũ: 15</t>
  </si>
  <si>
    <t>Hạt</t>
  </si>
  <si>
    <t>SEED</t>
  </si>
  <si>
    <t>Gây sát thương và root 1,5s; vẫn tấn công được.</t>
  </si>
  <si>
    <t>DMG 20; CD 1s; ngòi 1.5s; tầm 7; vùng 3×3; mang 3</t>
  </si>
  <si>
    <t>Dây thừng</t>
  </si>
  <si>
    <t>ROPE</t>
  </si>
  <si>
    <t>Đặc biệt</t>
  </si>
  <si>
    <t>Kéo đối thủ về hoặc kéo bản thân tới vật cản.</t>
  </si>
  <si>
    <t>DMG 15; CD 2; lượt 2; tầm 8; vùng 1 mục tiêu</t>
  </si>
  <si>
    <t>Trọng số/nguồn cũ: 12</t>
  </si>
  <si>
    <t>Chuông</t>
  </si>
  <si>
    <t>BELL</t>
  </si>
  <si>
    <t>Đảo hướng di chuyển đối thủ trong vùng; 10s ở bản cũ.</t>
  </si>
  <si>
    <t>DMG 15; CD -; lượt 1; tầm Bản thân là tâm; vùng 7×7</t>
  </si>
  <si>
    <t>Trọng số/nguồn cũ: 10</t>
  </si>
  <si>
    <t>Gậy đánh bóng</t>
  </si>
  <si>
    <t>SAHUR_BAT</t>
  </si>
  <si>
    <t>Đẩy lùi 3 cell; va vật cản/nhân vật gây stun 2s.</t>
  </si>
  <si>
    <t>DMG 25; CD 1.5; lượt 3; tầm 2.5; vùng Cung 90°</t>
  </si>
  <si>
    <t>Type</t>
  </si>
  <si>
    <t>Cơ chế / Chỉ số baseline</t>
  </si>
  <si>
    <t>Mang tối đa cũ</t>
  </si>
  <si>
    <t>Mũ gỗ</t>
  </si>
  <si>
    <t>WOODEN_HELMET</t>
  </si>
  <si>
    <t>Helmet</t>
  </si>
  <si>
    <t>Giảm 10%; độ bền 30</t>
  </si>
  <si>
    <t>Trọng số/nguồn cũ: 40</t>
  </si>
  <si>
    <t>Mũ gai</t>
  </si>
  <si>
    <t>SPIKE_HELMET</t>
  </si>
  <si>
    <t>Giảm 20%; độ bền 50</t>
  </si>
  <si>
    <t>Mũ phù thủy</t>
  </si>
  <si>
    <t>MAGIC_HELMET</t>
  </si>
  <si>
    <t>Giảm 30%; độ bền 70</t>
  </si>
  <si>
    <t>Giáp gỗ</t>
  </si>
  <si>
    <t>WOODEN_ARMOR</t>
  </si>
  <si>
    <t>Armor</t>
  </si>
  <si>
    <t>Trọng số/nguồn cũ: 35</t>
  </si>
  <si>
    <t>Giáp gai</t>
  </si>
  <si>
    <t>ARMOR</t>
  </si>
  <si>
    <t>Giảm 35%; độ bền 80</t>
  </si>
  <si>
    <t>Trọng số/nguồn cũ: 22</t>
  </si>
  <si>
    <t>Giáp phù thủy</t>
  </si>
  <si>
    <t>MAGIC_ARMOR</t>
  </si>
  <si>
    <t>Giảm 50%; độ bền 120</t>
  </si>
  <si>
    <t>Lá thần mộc</t>
  </si>
  <si>
    <t>GOD_LEAF</t>
  </si>
  <si>
    <t>Healing</t>
  </si>
  <si>
    <t>Hồi 10 HP; dùng 0,5 s; Hồi nhanh nhất, dùng được giữa giao tranh vì chỉ đứng yên nửa giây.</t>
  </si>
  <si>
    <t>Nước mắt tinh linh</t>
  </si>
  <si>
    <t>SPIRIT_TEAR</t>
  </si>
  <si>
    <t xml:space="preserve">Hồi 15 HP; dùng 0,8 s; </t>
  </si>
  <si>
    <t>Vảy đuôi tiên cá</t>
  </si>
  <si>
    <t>MERMAID_TAIL</t>
  </si>
  <si>
    <t xml:space="preserve">Hồi 25 HP; dùng 1,2 s; </t>
  </si>
  <si>
    <t>Lông vũ phượng hoàng lửa</t>
  </si>
  <si>
    <t>PHOENIX_FEATHERS</t>
  </si>
  <si>
    <t xml:space="preserve">Hồi 45 HP; dùng 2,0 s; </t>
  </si>
  <si>
    <t>Máu kỳ lân</t>
  </si>
  <si>
    <t>UNICORN_BLOOD</t>
  </si>
  <si>
    <t>Hồi 100 HP; dùng 3,5 s; Hồi đầy máu nhưng đứng yên 3,5s - chỉ dùng được khi đã cắt được tầm nhìn đối thủ.</t>
  </si>
  <si>
    <t>Trọng số/nguồn cũ: 6</t>
  </si>
  <si>
    <t>Nước tăng lực</t>
  </si>
  <si>
    <t>ADRENALINE</t>
  </si>
  <si>
    <t>Support</t>
  </si>
  <si>
    <t>Hồi 0 HP; dùng 1,5 s; Tăng 30% tốc độ di chuyển trong 8s. Hệ số áp dụng lên heroBaseSpeed Hero › bảng tốc độ theo trạng thái. Thanh Adrenaline vàng trên HUD. Dùng để chạy bo hoặc rút khỏi giao tranh.</t>
  </si>
  <si>
    <t>Thần dược</t>
  </si>
  <si>
    <t>ELIXIR</t>
  </si>
  <si>
    <t>Hồi 5 HP; dùng 1,0 s; Hóa giải và miễn nhiễm mọi hiệu ứng khống chế trong 7s. DÙNG ĐƯỢC CẢ KHI ĐANG BỊ KHỐNG CHẾ. Aura trắng cho người xem.</t>
  </si>
  <si>
    <t>Gậy thần</t>
  </si>
  <si>
    <t>MAGIC</t>
  </si>
  <si>
    <t>Hồi 0 HP; dùng 1,0 s; Tàng hình 5s. Gây sát thương là hiện nguyên hình ngay lập tức. Aura mờ cho người xem.</t>
  </si>
  <si>
    <t>Tiên dược sự sống</t>
  </si>
  <si>
    <t>ELIXIR_OF_LIFE</t>
  </si>
  <si>
    <t>Thính</t>
  </si>
  <si>
    <t>Hồi 50 HP; dùng Passive; PASSIVE. Khi HP về 0 lần đầu, Hero được cứu ngay tại chỗ với 50 HP và bất tử 2s, rồi vật phẩm biến mất. Đây là NGOẠI LỆ DUY NHẤT của luật không hồi sinh (R-020).</t>
  </si>
  <si>
    <t>Trọng số/nguồn cũ: Chỉ Thính</t>
  </si>
  <si>
    <t>Chờ chốt luật cứu mạng</t>
  </si>
  <si>
    <t>La bàn</t>
  </si>
  <si>
    <t>COMPASS</t>
  </si>
  <si>
    <t>Hồi 0 HP; dùng 2,0 s kích hoạt; Stun mọi Hero trong phạm vi 9×9 quanh mình trong 5s, trừ bản thân. Mất 2s để kích hoạt nên phải dùng trước khi lộ diện.</t>
  </si>
  <si>
    <t>Chờ giảm/đổi khống chế</t>
  </si>
  <si>
    <t>Environment</t>
  </si>
  <si>
    <t>Tags</t>
  </si>
  <si>
    <t>Ghi riêng: chặn đường, chặn projectile, chặn nổ, chặn LOS, phá được, hazard, tương tác.</t>
  </si>
  <si>
    <t>Rương gỗ</t>
  </si>
  <si>
    <t>Baseline object</t>
  </si>
  <si>
    <t>Size 1×1; HP 30; tag Destructible; DMG -; duration -. Nguồn loot chính. Phá vỡ rơi 3–4 món theo ECONOMIC. Không respawn. Cản đường khi chưa phá.</t>
  </si>
  <si>
    <t>Chum gốm</t>
  </si>
  <si>
    <t>Size 1×1; HP 20; tag Destructible; DMG -; duration -. Rương nhỏ, rơi 1–2 món, tỷ lệ ra đồ xịn thấp hơn. Đặt dày ở rìa map để người chơi có gì đó làm ngay 30s đầu.</t>
  </si>
  <si>
    <t>Vật chứa tiếp tế (Trứng Rồng cũ)</t>
  </si>
  <si>
    <t>Size 2×2; HP 150; tag Destructible; DMG -; duration -. Chỉ xuất hiện qua cơ chế airdrop. Rơi 6–8 món trang bị độc quyền. HP cao để một người không thể độc chiếm trong im lặng.</t>
  </si>
  <si>
    <t>Cột đá cổ đại</t>
  </si>
  <si>
    <t>Size 1×2; HP -; tag Hard cover; DMG -; duration -. Vật che chắn cơ bản, rải đều toàn map. Đơn vị chiến thuật nhỏ nhất để né đạn.</t>
  </si>
  <si>
    <t>Tường thành</t>
  </si>
  <si>
    <t>Size 1×4; HP -; tag Hard cover; DMG -; duration -. Tạo hành lang và ngõ cụt cho mê cung. Là vật liệu chính dựng bố cục map.</t>
  </si>
  <si>
    <t>Tảng đá lớn</t>
  </si>
  <si>
    <t>Size 4×4; HP -; tag Hard cover; DMG -; duration -. Điểm mốc định hướng, tạo vùng khuất lớn. Nơi phục kích kinh điển.</t>
  </si>
  <si>
    <t>Tượng cổ</t>
  </si>
  <si>
    <t>Size 3×3; HP -; tag Hard cover; DMG -; duration -. Trang trí có công năng, đánh dấu các nút giao của mê cung.</t>
  </si>
  <si>
    <t>Bụi rậm</t>
  </si>
  <si>
    <t>Size 1,5×1,5; HP -; tag Can go through · Can shoot through; DMG -; duration -. Hero đứng lọt hoàn toàn trong bụi thì VÔ HÌNH với Hero khác. Vẫn nhận sát thương nếu bị bắn trúng. BẮN RA LÀ LỘ VỊ TRÍ và bụi biến mất luôn.</t>
  </si>
  <si>
    <t>Sông</t>
  </si>
  <si>
    <t>Size Tùy đoạn; HP -; tag Can shoot through; DMG -; duration -. KHÔNG đi qua được nhưng bắn xuyên được. Chia map thành các vùng, ép người chơi đi qua cầu.</t>
  </si>
  <si>
    <t>Thảm hoa / nấm</t>
  </si>
  <si>
    <t>Size 1×1; HP -; tag Can go through · Can shoot through; DMG -; duration -. Thuần trang trí, đánh dấu vùng an toàn thị giác. Không ảnh hưởng gameplay.</t>
  </si>
  <si>
    <t>Đầm lầy</t>
  </si>
  <si>
    <t>Size 4×4; HP -; tag Can go through · Can shoot through · Hazard; DMG -; duration Khi còn đứng trong. Giảm 40% tốc độ di chuyển. Hệ số áp dụng lên heroBaseSpeed Hero › bảng tốc độ theo trạng thái. Không gây sát thương. Đặt ở chỗ hẹp để tạo bẫy vị trí.</t>
  </si>
  <si>
    <t>Hồ Lava</t>
  </si>
  <si>
    <t>Size 3×3; HP -; tag Can go through · Can shoot through · Hazard; DMG 10 HP / 0,5 s; duration Khi còn đứng trong. Đốt 20 HP/s - cao hơn cả sát thương bo giai đoạn cuối. Giáp KHÔNG giảm được sát thương này. Đi tắt qua Lava là canh bạc.</t>
  </si>
  <si>
    <t>Luật gây chết đang mâu thuẫn</t>
  </si>
  <si>
    <t>Ổ gai</t>
  </si>
  <si>
    <t>Size 1×1; HP -; tag Can go through · Can shoot through · Hazard; DMG 5 HP / s; duration 3 s. Gây Poison 3s. Còn đứng trong vùng thì duration reset về 3s. Bước ra vẫn chịu nốt thời gian còn lại.</t>
  </si>
  <si>
    <t>Portal</t>
  </si>
  <si>
    <t>Size 1×1; HP -; tag Interactive; DMG -; duration -. Đi theo CẶP có cùng số hiệu (map có 3 cặp = 6 portal). Bước vào một đầu dịch chuyển tức thời tới đầu kia. Cooldown 3s/Hero để chống spam.</t>
  </si>
  <si>
    <t>Cửa đá</t>
  </si>
  <si>
    <t>Size 1×2; HP -; tag Hard cover · Interactive; DMG -; duration Chu kỳ 20 s. Mở 20s rồi đóng 20s, lặp vô hạn. Khi đang mở thì đi qua được; khi đóng thì là Hard cover. Hero đứng ở ô cửa lúc cửa hạ bị Knock back ra ngoài.</t>
  </si>
  <si>
    <t>Weapon Interaction</t>
  </si>
  <si>
    <t>Cần định nghĩa vụ nổ có xuyên cover, gây hại bản thân hoặc kích hoạt object khác hay không.</t>
  </si>
  <si>
    <t>Containers</t>
  </si>
  <si>
    <t>Loot</t>
  </si>
  <si>
    <t>Phá/mở vật chứa → tạo Loot Item. HP cũ nằm trong từng object; số lượng và tỷ lệ tại ECONOMIC.</t>
  </si>
  <si>
    <t>Phase</t>
  </si>
  <si>
    <t>User Progression</t>
  </si>
  <si>
    <t>Nguồn lực / Thông tin</t>
  </si>
  <si>
    <t>Power Growth</t>
  </si>
  <si>
    <t>Design Intent</t>
  </si>
  <si>
    <t>Vào trận, hiểu điều khiển và nhận biết bản thân.</t>
  </si>
  <si>
    <t>Hướng dẫn thao tác cơ bản; trạng thái phòng.</t>
  </si>
  <si>
    <t>Sẵn sàng chơi.</t>
  </si>
  <si>
    <t>Giảm thời gian chờ và nhầm lẫn trước trận.</t>
  </si>
  <si>
    <t>Phòng/tìm trận và điều kiện bắt đầu chưa chốt.</t>
  </si>
  <si>
    <t>Early</t>
  </si>
  <si>
    <t>Loot, quan sát xung quanh và có phương án tự vệ.</t>
  </si>
  <si>
    <t>Vũ khí/vật tư ban đầu; đường rút gần nhất.</t>
  </si>
  <si>
    <t>Từ ít lựa chọn sang có kế hoạch đầu tiên.</t>
  </si>
  <si>
    <t>Người chơi sớm có lựa chọn để xử lý đụng độ.</t>
  </si>
  <si>
    <t>Đồ khởi đầu và thời lượng chưa chốt.</t>
  </si>
  <si>
    <t>Mid</t>
  </si>
  <si>
    <t>Chọn kiếm thêm đồ, săn người, tranh điểm nóng hoặc tránh giao tranh.</t>
  </si>
  <si>
    <t>Dấu vết đối thủ, loot và địa hình.</t>
  </si>
  <si>
    <t>Bộ trang bị hỗ trợ chiến thuật đang chọn.</t>
  </si>
  <si>
    <t>Tạo đánh đổi giữa lợi ích và nguy cơ lộ vị trí/tiêu hao.</t>
  </si>
  <si>
    <t>Cơ chế tiếp tế và áp lực bản đồ chưa chốt.</t>
  </si>
  <si>
    <t>Late</t>
  </si>
  <si>
    <t>Đọc lượng tài nguyên còn lại và kiểm soát lối di chuyển.</t>
  </si>
  <si>
    <t>Thông tin giới hạn; đồ còn mang; đường thoát.</t>
  </si>
  <si>
    <t>Dùng tài nguyên tích lũy, không mặc định max trang bị.</t>
  </si>
  <si>
    <t>Buộc kế hoạch thích nghi khi gặp người thứ ba hoặc mất vị trí.</t>
  </si>
  <si>
    <t>Không mặc định kết thúc bằng cuộc đua hồi máu.</t>
  </si>
  <si>
    <t>End</t>
  </si>
  <si>
    <t>Xác định kết quả và hiểu nguyên nhân.</t>
  </si>
  <si>
    <t>Kết quả cá nhân/trận; nguyên nhân bị loại.</t>
  </si>
  <si>
    <t>Kiến thức để chơi tốt hơn ở trận sau.</t>
  </si>
  <si>
    <t>Chơi lại thuận tiện và biết mình có thể làm khác điều gì.</t>
  </si>
  <si>
    <t>Điều kiện thắng cuối cùng chưa chốt.</t>
  </si>
  <si>
    <t>Disconnect</t>
  </si>
  <si>
    <t>Nhận biết mất mạng và thử trở lại.</t>
  </si>
  <si>
    <t>Trạng thái reconnect và kết quả cuối.</t>
  </si>
  <si>
    <t>Tiếp tục đúng nhân vật nếu còn hợp lệ.</t>
  </si>
  <si>
    <t>Tránh trạng thái kẹt hoặc mất kết quả không rõ lý do.</t>
  </si>
  <si>
    <t>Hành vi nhân vật và grace cần chốt.</t>
  </si>
  <si>
    <t>Setting</t>
  </si>
  <si>
    <t>Concept Btooom!; đảo/đấu trường sinh tồn là đề xuất bối cảnh. Layout chi tiết chưa chốt.</t>
  </si>
  <si>
    <t>Đề xuất</t>
  </si>
  <si>
    <t>Layout</t>
  </si>
  <si>
    <t>Có khu loot, vùng che chắn và đường vòng/rút lui. Mỗi điểm tranh chấp cần có cách tiếp cận và thoát.</t>
  </si>
  <si>
    <t>Scale / Spawn</t>
  </si>
  <si>
    <t>Kích thước, số spawn và khoảng cách lấy tại MATCH DESIGN DATA. Baseline cũ không đảm bảo mật độ online mới.</t>
  </si>
  <si>
    <t>Visibility</t>
  </si>
  <si>
    <t>Fog / LOS</t>
  </si>
  <si>
    <t>Bản cũ dùng bán kính nhìn + hard cover chắn LOS. Radar, âm thanh và lộ vị trí khi hành động chưa chốt.</t>
  </si>
  <si>
    <t>Cover</t>
  </si>
  <si>
    <t>Ghi riêng: chặn di chuyển, chặn projectile, chặn vụ nổ, chặn LOS, phá được, hazard, tương tác.</t>
  </si>
  <si>
    <t>Pressure</t>
  </si>
  <si>
    <t>Zone</t>
  </si>
  <si>
    <t>Bo tròn thu dần là phương án cũ. Nếu giữ, phải kiểm tra đường đi thực tế và vùng an toàn có thể tiếp cận.</t>
  </si>
  <si>
    <t>Geometry</t>
  </si>
  <si>
    <t>Bán kính 25 không phủ hết map vuông 50×50. Tâm mới phải bảo đảm toàn bộ bo sau nằm trong bo trước nếu chọn bo lồng nhau.</t>
  </si>
  <si>
    <t>Cần sửa baseline</t>
  </si>
  <si>
    <t>Endgame</t>
  </si>
  <si>
    <t>Toàn map gây sát thương có thể thành cuộc đua hồi máu. Cần kiểm chứng cơ chế ép giao tranh ở cuối trận.</t>
  </si>
  <si>
    <t>Cần test</t>
  </si>
  <si>
    <t>Loot / Risk</t>
  </si>
  <si>
    <t>Các khu loot tạo đánh đổi về thông tin, địa hình và lối rút; không mặc định bố cục mê cung cũ.</t>
  </si>
  <si>
    <t>Routes</t>
  </si>
  <si>
    <t>Mỗi điểm nóng có cách tiếp cận và cơ hội rút. Kiểm tra ngõ cụt với cơ chế áp lực di chuyển.</t>
  </si>
  <si>
    <t>Landmarks</t>
  </si>
  <si>
    <t>Khu vực dễ nhận biết để định hướng; danh sách landmark và hình bản đồ chưa có.</t>
  </si>
  <si>
    <t>Figma / Map Plan</t>
  </si>
  <si>
    <t>Bản layout, đường đi, vị trí spawn và vùng loot sẽ đính kèm sau khi có thiết kế.</t>
  </si>
  <si>
    <t>Chưa cung cấp</t>
  </si>
  <si>
    <t>Chưa có sơ đồ</t>
  </si>
  <si>
    <t>Resource / System</t>
  </si>
  <si>
    <t>Nguồn nhận</t>
  </si>
  <si>
    <t>Nguồn tiêu / Đánh đổi</t>
  </si>
  <si>
    <t>Vai trò</t>
  </si>
  <si>
    <t>Ghi chú</t>
  </si>
  <si>
    <t>Vũ khí / Công cụ</t>
  </si>
  <si>
    <t>Điểm loot, tiếp tế, đồ người bị loại.</t>
  </si>
  <si>
    <t>Dùng/tiêu hao nếu có; thay/bỏ vì giới hạn mang.</t>
  </si>
  <si>
    <t>Mở ra cách xử lý tình huống.</t>
  </si>
  <si>
    <t>Không giới hạn ở bom.</t>
  </si>
  <si>
    <t>Vật tư sinh tồn</t>
  </si>
  <si>
    <t>Loot và thu hồi sau giao tranh.</t>
  </si>
  <si>
    <t>Hồi phục hoặc tạo hiệu ứng hỗ trợ.</t>
  </si>
  <si>
    <t>Đánh đổi an toàn hiện tại với nguồn lực về sau.</t>
  </si>
  <si>
    <t>Số lượng và giới hạn mang chưa chốt.</t>
  </si>
  <si>
    <t>Trang bị phòng thủ</t>
  </si>
  <si>
    <t>Loot và thu hồi.</t>
  </si>
  <si>
    <t>Độ bền nếu giữ cơ chế cũ; thay đồ.</t>
  </si>
  <si>
    <t>Tăng khả năng sống sót.</t>
  </si>
  <si>
    <t>Cách hao giáp/mũ cần chốt.</t>
  </si>
  <si>
    <t>Phân bố loot</t>
  </si>
  <si>
    <t>Spawn đầu trận và tiếp tế theo cấu hình.</t>
  </si>
  <si>
    <t>Loot hết, bị lấy hoặc bị bỏ lại vì áp lực map.</t>
  </si>
  <si>
    <t>Tạo quyết định mạo hiểm kiếm đồ.</t>
  </si>
  <si>
    <t>Không mặc định vị trí tốt luôn cho đồ mạnh nhất.</t>
  </si>
  <si>
    <t>Phần thưởng giao tranh</t>
  </si>
  <si>
    <t>Trang bị/tài nguyên đối thủ còn mang.</t>
  </si>
  <si>
    <t>Tiêu hao đồ và lộ thông tin khi giao tranh.</t>
  </si>
  <si>
    <t>Có lý do đánh và có lý do rút.</t>
  </si>
  <si>
    <t>Reward cần cân với nguy cơ người thứ ba.</t>
  </si>
  <si>
    <t>Khan hiếm / Nhịp loot</t>
  </si>
  <si>
    <t>Số nguồn và chất lượng đồ.</t>
  </si>
  <si>
    <t>Giới hạn mang và mức tiêu hao.</t>
  </si>
  <si>
    <t>Đủ lựa chọn sớm, vẫn cần cân nhắc sử dụng.</t>
  </si>
  <si>
    <t>Không kết luận cân bằng khi chưa playtest.</t>
  </si>
  <si>
    <t>Tiền tệ / Monetization</t>
  </si>
  <si>
    <t>Chưa thiết kế.</t>
  </si>
  <si>
    <t>Ngoài kinh tế tài nguyên trong trận.</t>
  </si>
  <si>
    <t>Chưa chốt phạm vi</t>
  </si>
  <si>
    <t>Không tự thêm shop, crafting hoặc nâng cấp tài khoản.</t>
  </si>
  <si>
    <t>LOOT BASELINE</t>
  </si>
  <si>
    <t>Số lượng / Tỷ lệ cũ</t>
  </si>
  <si>
    <t>Đơn vị</t>
  </si>
  <si>
    <t>Ý nghĩa</t>
  </si>
  <si>
    <t>Nguồn</t>
  </si>
  <si>
    <t>1–2</t>
  </si>
  <si>
    <t>món / nguồn</t>
  </si>
  <si>
    <t>Chum gốm; respawn: Không</t>
  </si>
  <si>
    <t>Cách nhận và rơi đồ cần duyệt.</t>
  </si>
  <si>
    <t>3–4</t>
  </si>
  <si>
    <t>Rương gỗ; respawn: Không</t>
  </si>
  <si>
    <t>6–8</t>
  </si>
  <si>
    <t>Trứng Rồng (Thính); respawn: Không</t>
  </si>
  <si>
    <t>Toàn bộ đồ đang mang</t>
  </si>
  <si>
    <t>Xác người chơi; respawn: -</t>
  </si>
  <si>
    <t>Rương 15%; chum 25%</t>
  </si>
  <si>
    <t>tỷ lệ cũ</t>
  </si>
  <si>
    <t>Melees (cận chiến)</t>
  </si>
  <si>
    <t>Trọng số trong từng nhóm chưa chuẩn hóa.</t>
  </si>
  <si>
    <t>Rương 20%; chum 8%</t>
  </si>
  <si>
    <t>Guns (xạ chiến)</t>
  </si>
  <si>
    <t>Rương 25%; chum 30%</t>
  </si>
  <si>
    <t>Ammo (đạn dự trữ)</t>
  </si>
  <si>
    <t>Rương 15%; chum 12%</t>
  </si>
  <si>
    <t>Throwables</t>
  </si>
  <si>
    <t>Rương 15%; chum 20%</t>
  </si>
  <si>
    <t>Healing / Support</t>
  </si>
  <si>
    <t>Rương 10%; chum 5%</t>
  </si>
  <si>
    <t>Armor / Helmet</t>
  </si>
  <si>
    <t>NỘI DUNG TIẾP TẾ CŨ</t>
  </si>
  <si>
    <t>Món</t>
  </si>
  <si>
    <t>Tỷ lệ xuất hiện cũ</t>
  </si>
  <si>
    <t>Số lượng cũ</t>
  </si>
  <si>
    <t>100%</t>
  </si>
  <si>
    <t>Phần thưởng tranh điểm nóng</t>
  </si>
  <si>
    <t>Cách bốc 6–8 món và vật phẩm độc quyền cần chốt lại.</t>
  </si>
  <si>
    <t>Shotgun + 20 đạn</t>
  </si>
  <si>
    <t>70%</t>
  </si>
  <si>
    <t>60%</t>
  </si>
  <si>
    <t>50%</t>
  </si>
  <si>
    <t>35%</t>
  </si>
  <si>
    <t>80%</t>
  </si>
  <si>
    <t>Key / ID</t>
  </si>
  <si>
    <t>Giá trị baseline</t>
  </si>
  <si>
    <t>Config</t>
  </si>
  <si>
    <t>matchDuration</t>
  </si>
  <si>
    <t>s</t>
  </si>
  <si>
    <t>Thời lượng tối đa của một trận (7:00). Trận kết thúc sớm nếu chỉ còn 1 người sống.</t>
  </si>
  <si>
    <t>lobbyDuration</t>
  </si>
  <si>
    <t>Thời gian warm-up trong Lobby trước khi trận bắt đầu.</t>
  </si>
  <si>
    <t>maxPlayers</t>
  </si>
  <si>
    <t>người</t>
  </si>
  <si>
    <t>Số người chơi tối đa một trận. Prototype classroom LAN cố định ở mức 10.</t>
  </si>
  <si>
    <t>minPlayersToStart</t>
  </si>
  <si>
    <t>Số người tối thiểu để trận được phép bắt đầu.</t>
  </si>
  <si>
    <t>mapSize</t>
  </si>
  <si>
    <t>cell</t>
  </si>
  <si>
    <t>Bản đồ vuông 50 × 50 cell.</t>
  </si>
  <si>
    <t>cellSize</t>
  </si>
  <si>
    <t>px</t>
  </si>
  <si>
    <t>Một cell bằng 48 × 48 pixel. Map = 2400 × 2400 px.</t>
  </si>
  <si>
    <t>heroMaxHP</t>
  </si>
  <si>
    <t>HP</t>
  </si>
  <si>
    <t>Máu tối đa của Hero.</t>
  </si>
  <si>
    <t>heroBaseSpeed</t>
  </si>
  <si>
    <t>cell/s</t>
  </si>
  <si>
    <t>Tốc độ di chuyển gốc. Mọi hệ số nhân với giá trị này.</t>
  </si>
  <si>
    <t>heroColliderRadius</t>
  </si>
  <si>
    <t>Bán kính va chạm của Hero.</t>
  </si>
  <si>
    <t>visionRadius</t>
  </si>
  <si>
    <t>Bán kính Fog of War. Hard cover chắn Line of Sight trong bán kính này.</t>
  </si>
  <si>
    <t>aimLerpTime</t>
  </si>
  <si>
    <t>Thời gian nội suy khi nhân vật xoay theo con trỏ chuột.</t>
  </si>
  <si>
    <t>weaponSwapTime</t>
  </si>
  <si>
    <t>Thời gian rút vũ khí khi đổi khe.</t>
  </si>
  <si>
    <t>pickupRadius</t>
  </si>
  <si>
    <t>Bán kính nhặt đồ bằng phím F.</t>
  </si>
  <si>
    <t>armorCapPct</t>
  </si>
  <si>
    <t>tỷ lệ</t>
  </si>
  <si>
    <t>Trần tổng giảm sát thương của Giáp + Mũ.</t>
  </si>
  <si>
    <t>zoneShape</t>
  </si>
  <si>
    <t>circle</t>
  </si>
  <si>
    <t>-</t>
  </si>
  <si>
    <t>Hình dạng vùng an toàn. Bản gốc dùng square.</t>
  </si>
  <si>
    <t>zoneShrinkSpeed</t>
  </si>
  <si>
    <t>Tốc độ co bán kính của bo.</t>
  </si>
  <si>
    <t>zoneDamageFloor</t>
  </si>
  <si>
    <t>HP/s</t>
  </si>
  <si>
    <t>Sát thương bo tối thiểu - giá trị sàn của hàm max().</t>
  </si>
  <si>
    <t>zoneRecalcInterval</t>
  </si>
  <si>
    <t>Chu kỳ tính lại HP_LOSS. Không tính lại mỗi giây.</t>
  </si>
  <si>
    <t>zoneWarningTime</t>
  </si>
  <si>
    <t>Thời gian cảnh báo trước mỗi lần bo thu.</t>
  </si>
  <si>
    <t>zoneCenterMargin</t>
  </si>
  <si>
    <t>Khoảng cách tối thiểu từ tâm bo mới tới viền bo cũ.</t>
  </si>
  <si>
    <t>airdropCount</t>
  </si>
  <si>
    <t>lần</t>
  </si>
  <si>
    <t>Số lần thả Thính trong một trận.</t>
  </si>
  <si>
    <t>airdropEdgeMargin</t>
  </si>
  <si>
    <t>Khoảng cách tối thiểu từ điểm rơi Thính tới viền bo.</t>
  </si>
  <si>
    <t>dragonFlyDuration</t>
  </si>
  <si>
    <t>Thời gian rồng bay ngang map trước khi trứng chạm đất.</t>
  </si>
  <si>
    <t>chestCount</t>
  </si>
  <si>
    <t>cái</t>
  </si>
  <si>
    <t>Số rương gỗ trên map. Không respawn.</t>
  </si>
  <si>
    <t>potCount</t>
  </si>
  <si>
    <t>Số chum gốm trên map. Không respawn.</t>
  </si>
  <si>
    <t>bushCount</t>
  </si>
  <si>
    <t>cụm</t>
  </si>
  <si>
    <t>Số cụm bụi rậm.</t>
  </si>
  <si>
    <t>portalPairs</t>
  </si>
  <si>
    <t>cặp</t>
  </si>
  <si>
    <t>Số cặp Portal (6 portal). Cooldown 3s/Hero.</t>
  </si>
  <si>
    <t>stoneDoorCycle</t>
  </si>
  <si>
    <t>Chu kỳ đóng/mở của Cửa đá.</t>
  </si>
  <si>
    <t>spawnMinDistance</t>
  </si>
  <si>
    <t>Khoảng cách tối thiểu giữa hai điểm spawn.</t>
  </si>
  <si>
    <t>lootRespawn</t>
  </si>
  <si>
    <t>false</t>
  </si>
  <si>
    <t>bool</t>
  </si>
  <si>
    <t>Rương và vật phẩm KHÔNG hồi sinh trong trận. Khác bản gốc (súng spawn lại mỗi 46s).</t>
  </si>
  <si>
    <t>respawnEnabled</t>
  </si>
  <si>
    <t>Chưa có giá trị</t>
  </si>
  <si>
    <t>Không có hồi sinh. Ngoại lệ duy nhất là Tiên dược sự sống.</t>
  </si>
  <si>
    <t>disconnectGrace</t>
  </si>
  <si>
    <t>Thời gian giữ slot cho reconnect trong classroom LAN; không có bot takeover.</t>
  </si>
  <si>
    <t>botTakeoverDuration</t>
  </si>
  <si>
    <t>Disabled: không có gameplay bot takeover. Reconnect trong 15s giữ cùng player; quá grace thì bị loại.</t>
  </si>
  <si>
    <t>killcamDuration</t>
  </si>
  <si>
    <t>Thời gian xem góc nhìn người đã hạ mình.</t>
  </si>
  <si>
    <t>targetFPS</t>
  </si>
  <si>
    <t>fps</t>
  </si>
  <si>
    <t>Mục tiêu hiệu năng trên 10 nhân vật cùng xả đạn.</t>
  </si>
  <si>
    <t>ZONE BASELINE</t>
  </si>
  <si>
    <t>phaseId</t>
  </si>
  <si>
    <t>restStart (s)</t>
  </si>
  <si>
    <t>restEnd (s)</t>
  </si>
  <si>
    <t>shrinkStart (s)</t>
  </si>
  <si>
    <t>shrinkEnd (s)</t>
  </si>
  <si>
    <t>radiusFrom (cell)</t>
  </si>
  <si>
    <t>radiusTo (cell)</t>
  </si>
  <si>
    <t>Lịch cũ - cần thiết kế lại cùng áp lực map.</t>
  </si>
  <si>
    <t>0:00</t>
  </si>
  <si>
    <t>20,0 s</t>
  </si>
  <si>
    <t>18 cell</t>
  </si>
  <si>
    <t>12 cell</t>
  </si>
  <si>
    <t>7 cell</t>
  </si>
  <si>
    <t>AIRDROP BASELINE</t>
  </si>
  <si>
    <t>dropId</t>
  </si>
  <si>
    <t>dragonFlyAt cũ (s)</t>
  </si>
  <si>
    <t>landAt cũ (s)</t>
  </si>
  <si>
    <t>Mốc cũ</t>
  </si>
  <si>
    <t>Bán kính cũ</t>
  </si>
  <si>
    <t>Số món cũ</t>
  </si>
  <si>
    <t>2:00</t>
  </si>
  <si>
    <t>Xem ECONOMIC</t>
  </si>
  <si>
    <t>Rồng/Trứng là skin cũ, chưa giữ cho concept mới.</t>
  </si>
  <si>
    <t>4:00</t>
  </si>
  <si>
    <t>5:30</t>
  </si>
  <si>
    <t>Item name cũ</t>
  </si>
  <si>
    <t>Nguồn nhận cũ</t>
  </si>
  <si>
    <t>Nguồn tiêu cũ</t>
  </si>
  <si>
    <t>Weapon</t>
  </si>
  <si>
    <t>Có sẵn từ đầu trận</t>
  </si>
  <si>
    <t>Tấn công cận chiến · phá chum, rương</t>
  </si>
  <si>
    <t>Weapons › 1</t>
  </si>
  <si>
    <t>Chum gốm · rương gỗ · xác người chơi</t>
  </si>
  <si>
    <t>Tấn công cận chiến · phá obstacle</t>
  </si>
  <si>
    <t>Weapons › 2</t>
  </si>
  <si>
    <t>Tấn công cận chiến</t>
  </si>
  <si>
    <t>Weapons › 3</t>
  </si>
  <si>
    <t>Weapons › 4</t>
  </si>
  <si>
    <t>Rương gỗ · xác người chơi</t>
  </si>
  <si>
    <t>Tấn công cận chiến · phá obstacle (+50% dmg)</t>
  </si>
  <si>
    <t>Weapons › 5</t>
  </si>
  <si>
    <t>CHỈ tiếp tế cũ · xác người chơi</t>
  </si>
  <si>
    <t>Tấn công cận chiến + Stun</t>
  </si>
  <si>
    <t>Weapons › 6</t>
  </si>
  <si>
    <t>Khai hỏa - tiêu thụ đạn</t>
  </si>
  <si>
    <t>Weapons › 7</t>
  </si>
  <si>
    <t>Weapons › 8</t>
  </si>
  <si>
    <t>Weapons › 9</t>
  </si>
  <si>
    <t>tiếp tế cũ (70%) · rương gỗ (8%) · xác người chơi</t>
  </si>
  <si>
    <t>Weapons › 10</t>
  </si>
  <si>
    <t>Đạn</t>
  </si>
  <si>
    <t>Consumable</t>
  </si>
  <si>
    <t>Chum gốm · rương gỗ · xác người chơi · tự hút khi bước qua</t>
  </si>
  <si>
    <t>Nạp vào băng đạn khi bấm R</t>
  </si>
  <si>
    <t>Weapons › Guns</t>
  </si>
  <si>
    <t>Ném - tạo Vỏ chuối làm bẫy</t>
  </si>
  <si>
    <t>Weapons › 11</t>
  </si>
  <si>
    <t>Ném - tạo màn khói rút lui hoặc áp sát</t>
  </si>
  <si>
    <t>Weapons › 12</t>
  </si>
  <si>
    <t>Ném - sát thương nổ</t>
  </si>
  <si>
    <t>Weapons › 13</t>
  </si>
  <si>
    <t>Ném - sát thương nổ cao nhất</t>
  </si>
  <si>
    <t>Weapons › 14</t>
  </si>
  <si>
    <t>Ném - Trói chân, chặn đường rút</t>
  </si>
  <si>
    <t>Weapons › 15</t>
  </si>
  <si>
    <t>Kéo đối thủ về, hoặc kéo mình tới vật cản</t>
  </si>
  <si>
    <t>Weapons › 16</t>
  </si>
  <si>
    <t>Đảo hướng di chuyển đối thủ trong 7×7</t>
  </si>
  <si>
    <t>Weapons › 17</t>
  </si>
  <si>
    <t>Đẩy lùi đối thủ vào vật cản, Lava hoặc vùng tối</t>
  </si>
  <si>
    <t>Weapons › 18</t>
  </si>
  <si>
    <t>Mặc - giảm 10% sát thương, hao độ bền</t>
  </si>
  <si>
    <t>Equipments › 1</t>
  </si>
  <si>
    <t>Mặc - giảm 20%</t>
  </si>
  <si>
    <t>Equipments › 2</t>
  </si>
  <si>
    <t>tiếp tế cũ (50%) · rương gỗ · xác người chơi</t>
  </si>
  <si>
    <t>Mặc - giảm 30%</t>
  </si>
  <si>
    <t>Equipments › 3</t>
  </si>
  <si>
    <t>Equipments › 4</t>
  </si>
  <si>
    <t>Mặc - giảm 35%</t>
  </si>
  <si>
    <t>Equipments › 5</t>
  </si>
  <si>
    <t>CHỈ tiếp tế cũ (60%) · xác người chơi</t>
  </si>
  <si>
    <t>Mặc - giảm 50%</t>
  </si>
  <si>
    <t>Equipments › 6</t>
  </si>
  <si>
    <t>Uống - hồi 10 HP</t>
  </si>
  <si>
    <t>Equipments › 7</t>
  </si>
  <si>
    <t>Uống - hồi 15 HP</t>
  </si>
  <si>
    <t>Equipments › 8</t>
  </si>
  <si>
    <t>Uống - hồi 25 HP</t>
  </si>
  <si>
    <t>Equipments › 9</t>
  </si>
  <si>
    <t>Uống - hồi 45 HP</t>
  </si>
  <si>
    <t>Equipments › 10</t>
  </si>
  <si>
    <t>tiếp tế cũ (80%) · rương gỗ · xác người chơi</t>
  </si>
  <si>
    <t>Uống - hồi đầy 100 HP</t>
  </si>
  <si>
    <t>Equipments › 11</t>
  </si>
  <si>
    <t>Uống - +30% tốc độ trong 8s</t>
  </si>
  <si>
    <t>Equipments › 12</t>
  </si>
  <si>
    <t>tiếp tế cũ (60%) · rương gỗ · xác người chơi</t>
  </si>
  <si>
    <t>Uống - miễn khống chế 7s</t>
  </si>
  <si>
    <t>Equipments › 13</t>
  </si>
  <si>
    <t>Uống - tàng hình 5s</t>
  </si>
  <si>
    <t>Equipments › 14</t>
  </si>
  <si>
    <t>CHỈ tiếp tế cũ (35%) · xác người chơi</t>
  </si>
  <si>
    <t>Passive - cứu mạng một lần</t>
  </si>
  <si>
    <t>Equipments › 15</t>
  </si>
  <si>
    <t>Kích hoạt - Stun 9×9 trong 5s</t>
  </si>
  <si>
    <t>Equipments › 16</t>
  </si>
  <si>
    <t>Asset Name</t>
  </si>
  <si>
    <t>Loại</t>
  </si>
  <si>
    <t>Mục đích / Note</t>
  </si>
  <si>
    <t>Tình trạng</t>
  </si>
  <si>
    <t>Link / License</t>
  </si>
  <si>
    <t>Hero + animation</t>
  </si>
  <si>
    <t>Visual</t>
  </si>
  <si>
    <t>Di chuyển, hành động, trúng đòn, bị loại.</t>
  </si>
  <si>
    <t>Chưa chọn nguồn</t>
  </si>
  <si>
    <t>Tileset bối cảnh mới</t>
  </si>
  <si>
    <t>Địa hình đọc được đường đi, vật che chắn và đường rút.</t>
  </si>
  <si>
    <t>Vật cản / Vật chứa loot</t>
  </si>
  <si>
    <t>Phân biệt phá được và không phá được bằng hình dáng.</t>
  </si>
  <si>
    <t>Icon vũ khí / trang bị</t>
  </si>
  <si>
    <t>UI</t>
  </si>
  <si>
    <t>Phân biệt loại, số lượng và món đang dùng.</t>
  </si>
  <si>
    <t>Chờ roster</t>
  </si>
  <si>
    <t>VFX hành động / nguy hiểm</t>
  </si>
  <si>
    <t>Vùng ảnh hưởng, thời điểm kích hoạt và kết quả hành động.</t>
  </si>
  <si>
    <t>Chờ luật vũ khí</t>
  </si>
  <si>
    <t>HUD / Inventory</t>
  </si>
  <si>
    <t>HP, vật tư và trạng thái quan trọng dễ đọc khi giao tranh.</t>
  </si>
  <si>
    <t>Visibility / Pressure</t>
  </si>
  <si>
    <t>Hiển thị vùng khuất và áp lực map theo luật đã chốt.</t>
  </si>
  <si>
    <t>Chờ cơ chế</t>
  </si>
  <si>
    <t>Graybox</t>
  </si>
  <si>
    <t>Prototype</t>
  </si>
  <si>
    <t>Khối Hero, cover, vật chứa, vật phẩm và trigger; kích thước baseline ở MAP DESIGN/MATCH DESIGN DATA.</t>
  </si>
  <si>
    <t>Ưu tiên khi thử gameplay</t>
  </si>
  <si>
    <t>Bước chân / Tương tác môi trường</t>
  </si>
  <si>
    <t>SFX</t>
  </si>
  <si>
    <t>Cung cấp thông tin theo luật âm thanh, không mặc định nghe toàn map.</t>
  </si>
  <si>
    <t>Dùng vũ khí / Bom / Bẫy</t>
  </si>
  <si>
    <t>Nhận biết loại hành động và nguy hiểm sắp xảy ra.</t>
  </si>
  <si>
    <t>Gây / Nhận sát thương / Bị loại</t>
  </si>
  <si>
    <t>Phân biệt trúng, bị đánh và bị loại.</t>
  </si>
  <si>
    <t>Nhặt / Đổi / Dùng đồ</t>
  </si>
  <si>
    <t>Xác nhận thao tác thành công, bắt đầu/kết thúc dùng đồ.</t>
  </si>
  <si>
    <t>Cảnh báo / Kết quả / Kết nối</t>
  </si>
  <si>
    <t>Báo thay đổi quan trọng của trận và trạng thái online.</t>
  </si>
  <si>
    <t>Nhạc nền</t>
  </si>
  <si>
    <t>BGM</t>
  </si>
  <si>
    <t>Cảm xúc căng thẳng xen các pha hỗn loạn; không che tín hiệu chiến thuật.</t>
  </si>
  <si>
    <t>Feature / Metric</t>
  </si>
  <si>
    <t>Câu hỏi / Tiêu chí</t>
  </si>
  <si>
    <t>Cách kiểm chứng</t>
  </si>
  <si>
    <t>Kết quả / Quyết định</t>
  </si>
  <si>
    <t>End-to-End</t>
  </si>
  <si>
    <t>10 người vào cùng phòng → chơi trọn trận → kết quả → chơi lại trên LAN và online, không crash/kẹt trạng thái.</t>
  </si>
  <si>
    <t>Test build Windows với cấu hình trận đã ghi: LAN và VPN online từ ít nhất 2 mạng Internet khác nhau. Dùng trận 7 phút của QA-01; ghi riêng kết quả từng chế độ.</t>
  </si>
  <si>
    <t>Chưa test</t>
  </si>
  <si>
    <t>Decision Quality</t>
  </si>
  <si>
    <t>Người chơi có lựa chọn loot, đánh hoặc rút với lý do rõ ràng.</t>
  </si>
  <si>
    <t>Quan sát, hỏi lại quyết định; ghi ví dụ hành vi và kết quả.</t>
  </si>
  <si>
    <t>Weapon Counterplay</t>
  </si>
  <si>
    <t>Nhận biết nguy hiểm, phản ứng và hiểu nguyên nhân bị loại.</t>
  </si>
  <si>
    <t>Test từng vũ khí và tình huống phối hợp; ghi tín hiệu/cách đối phó.</t>
  </si>
  <si>
    <t>Loot Economy</t>
  </si>
  <si>
    <t>Có phương án tự vệ sớm và vẫn muốn mạo hiểm lấy thêm đồ.</t>
  </si>
  <si>
    <t>Đo thời gian có trang bị đầu tiên, đồ nhận/dùng và tình huống thiếu tài nguyên.</t>
  </si>
  <si>
    <t>Pacing / Map</t>
  </si>
  <si>
    <t>Đường đi, điểm nóng và áp lực tạo giao tranh có chủ đích.</t>
  </si>
  <si>
    <t>Ghi chạm trán, rút lui, thời lượng và nguyên nhân chết.</t>
  </si>
  <si>
    <t>Replay</t>
  </si>
  <si>
    <t>Người chơi tự chọn chơi tiếp và nêu được điều muốn thử.</t>
  </si>
  <si>
    <t>Ghi lựa chọn chơi lại, không ép số trận trong phép đo tự nguyện.</t>
  </si>
  <si>
    <t>HP, loot và kết quả nhất quán giữa 10 client; không nhặt trùng/nhân đôi damage. Mất mạng không kẹt phòng; từ chối người thứ 11.</t>
  </si>
  <si>
    <t>Test LAN/VPN thật và mô phỏng RTT 50/100ms, jitter 20ms, loss 1/3%. Ngắt mạng, timeout, về menu/join lại; ghi hành vi. Reconnect giữ HP/inventory chỉ nghiệm thu khi tính năng đã được thiết kế.</t>
  </si>
  <si>
    <t>Performance</t>
  </si>
  <si>
    <t>Mục tiêu QA-01: avg FPS ≥55, 1% low ≥40 với 10 người trên máy ghi cấu hình. Server 30Hz; mục tiêu tick p95 &lt;33,3ms dưới tải gameplay.</t>
  </si>
  <si>
    <t>Ghi build, cấu hình host/client, số entity, FPS/frame time, CPU/RAM, băng thông, RTT/jitter/loss, tick p95/p99 và tuyến VPN direct/relay. Báo số đo và đạt/chưa đạt, không chỉ ping/pong.</t>
  </si>
  <si>
    <t>BALANCE / OPEN DECISIONS</t>
  </si>
  <si>
    <t>Feature</t>
  </si>
  <si>
    <t>Vấn đề cần xử lý</t>
  </si>
  <si>
    <t>Bước tiếp theo</t>
  </si>
  <si>
    <t>Quyết định</t>
  </si>
  <si>
    <t>TTK</t>
  </si>
  <si>
    <t>Bảng cũ dùng HP/DPS, chưa tính đòn đầu, nhịp đòn, thời gian bay, độ bền và hồi phục.</t>
  </si>
  <si>
    <t>Định nghĩa TTK theo hành vi từng vũ khí rồi đo; chưa công nhận bảng cũ đạt mục tiêu.</t>
  </si>
  <si>
    <t>Khống chế</t>
  </si>
  <si>
    <t>La bàn stun 5s, Chuông reverse 10s; nguy cơ mất quyền phản ứng quá lâu.</t>
  </si>
  <si>
    <t>Thiết kế thời lượng/cách chống cùng roster mới.</t>
  </si>
  <si>
    <t>Bo / Map</t>
  </si>
  <si>
    <t>Bo r25 không phủ map50×50; điều kiện tâm mới chưa đủ bảo đảm bo lồng nhau.</t>
  </si>
  <si>
    <t>Chốt áp lực map, hình học và đường đi trước khi sửa lịch.</t>
  </si>
  <si>
    <t>Toàn map mất máu có thể biến thành cuộc đua hồi máu.</t>
  </si>
  <si>
    <t>Kiểm chứng kết thúc trận dựa vào quyết định giao tranh.</t>
  </si>
  <si>
    <t>Luật cũ mâu thuẫn</t>
  </si>
  <si>
    <t>Lava có giết được không; stun có cho dùng đồ giải không; phân bổ hao giáp/mũ chưa rõ.</t>
  </si>
  <si>
    <t>Chốt trong từng Object; chỉ cập nhật quyết định khi đã duyệt.</t>
  </si>
  <si>
    <t>Scope mới</t>
  </si>
  <si>
    <t>Phạm vi test: nhóm kín tối đa 10 người, LAN hoặc online qua VPN. Tên, roster, mode, thời lượng chính thức và điều kiện thắng còn cần chốt.</t>
  </si>
  <si>
    <t>Đi lần lượt các phần GDD cùng người thiết kế.</t>
  </si>
  <si>
    <t>Đang thảo luận</t>
  </si>
  <si>
    <t>PLAYTEST / BUG LOG</t>
  </si>
  <si>
    <t>Feature / Observation</t>
  </si>
  <si>
    <t>Mô tả quan sát hoặc bước tái hiện</t>
  </si>
  <si>
    <t>Đề xuất / Sửa đổi</t>
  </si>
  <si>
    <t>Kết quả xác minh</t>
  </si>
  <si>
    <t>Playtest setup</t>
  </si>
  <si>
    <t>Host PC bật trong buổi test; LAN dùng IP nội bộ, online dùng IP VPN. Đủ 10 người cho bài nghiệm thu, theo cấu hình bắt đầu trận; tách đo tải synthetic khỏi trải nghiệm người thật.</t>
  </si>
  <si>
    <t>Ghi phiên bản build, config endpoint/cổng, cấu hình trận và máy, 2 mạng Internet tham gia, firewall, VPN direct/relay. Kiểm tra 2 client kết nối trước buổi test 10 người.</t>
  </si>
  <si>
    <t>Chưa tổ chức</t>
  </si>
  <si>
    <t>Data to collect</t>
  </si>
  <si>
    <t>Trận, chơi lại, đồ nhận/dùng, giao tranh/rút, nguyên nhân chết và lỗi mạng.</t>
  </si>
  <si>
    <t>Chỉ thêm event khi cần trả lời câu hỏi thiết kế; không tạo bảng default config thứ hai.</t>
  </si>
  <si>
    <t>Kế hoạch đo</t>
  </si>
  <si>
    <t>Report discipline</t>
  </si>
  <si>
    <t>Ghi người chơi làm gì/gặp gì; tách quan sát, quyết định thiết kế và kết quả sửa.</t>
  </si>
  <si>
    <t>Bug chỉ đóng khi đã xác minh trên build; chưa có bug của concept mới.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</si>
</sst>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7">
    <font>
      <sz val="11.0"/>
      <color theme="1"/>
      <name val="Calibri"/>
      <scheme val="minor"/>
    </font>
    <font>
      <b/>
      <sz val="18.0"/>
      <color rgb="FFFFFFFF"/>
      <name val="Lexend"/>
    </font>
    <font>
      <sz val="10.0"/>
      <color theme="1"/>
      <name val="Lexend"/>
    </font>
    <font>
      <sz val="10.0"/>
      <color rgb="FF212630"/>
      <name val="Lexend"/>
    </font>
    <font>
      <b/>
      <sz val="18.0"/>
      <color theme="1"/>
      <name val="Lexend"/>
    </font>
    <font/>
    <font>
      <b/>
      <sz val="18.0"/>
      <color rgb="FF351C75"/>
      <name val="Arial"/>
    </font>
    <font>
      <color theme="1"/>
      <name val="Lexend"/>
    </font>
    <font>
      <b/>
      <sz val="11.0"/>
      <color rgb="FF351C75"/>
      <name val="Lexend"/>
    </font>
    <font>
      <b/>
      <sz val="10.0"/>
      <color theme="1"/>
      <name val="Lexend"/>
    </font>
    <font>
      <u/>
      <sz val="10.0"/>
      <color rgb="FF0000FF"/>
      <name val="Lexend"/>
    </font>
    <font>
      <color rgb="FF1F1F1F"/>
      <name val="Arial"/>
    </font>
    <font>
      <b/>
      <color rgb="FF351C75"/>
      <name val="Arial"/>
    </font>
    <font>
      <color theme="1"/>
      <name val="Calibri"/>
      <scheme val="minor"/>
    </font>
    <font>
      <b/>
      <sz val="11.0"/>
      <color rgb="FF000000"/>
      <name val="Lexend"/>
    </font>
    <font>
      <sz val="11.0"/>
      <color rgb="FF000000"/>
      <name val="Lexend"/>
    </font>
    <font>
      <b/>
      <sz val="12.0"/>
      <color rgb="FF000000"/>
      <name val="Lexend"/>
    </font>
    <font>
      <b/>
      <sz val="10.0"/>
      <color rgb="FF000000"/>
      <name val="Lexend"/>
    </font>
    <font>
      <u/>
      <sz val="10.0"/>
      <color rgb="FF46BDC6"/>
      <name val="Lexend"/>
    </font>
    <font>
      <sz val="10.0"/>
      <color rgb="FF000000"/>
      <name val="Lexend"/>
    </font>
    <font>
      <b/>
      <sz val="14.0"/>
      <color rgb="FFFFFFFF"/>
      <name val="Lexend"/>
    </font>
    <font>
      <u/>
      <sz val="10.0"/>
      <color rgb="FF46BDC6"/>
      <name val="Lexend"/>
    </font>
    <font>
      <b/>
      <sz val="15.0"/>
      <color rgb="FFFFFFFF"/>
      <name val="Lexend"/>
    </font>
    <font>
      <b/>
      <color rgb="FF000000"/>
      <name val="Lexend"/>
    </font>
    <font>
      <sz val="10.0"/>
      <color rgb="FF262626"/>
      <name val="Lexend"/>
    </font>
    <font>
      <sz val="10.0"/>
      <color rgb="FFFFFFFF"/>
      <name val="Lexend"/>
    </font>
    <font>
      <b/>
      <color theme="1"/>
      <name val="Lexend"/>
    </font>
    <font>
      <b/>
      <u/>
      <sz val="10.0"/>
      <color rgb="FF46BDC6"/>
      <name val="Lexend"/>
    </font>
    <font>
      <b/>
      <u/>
      <sz val="10.0"/>
      <color rgb="FF46BDC6"/>
      <name val="Lexend"/>
    </font>
    <font>
      <b/>
      <u/>
      <sz val="10.0"/>
      <color rgb="FF46BDC6"/>
      <name val="Lexend"/>
    </font>
    <font>
      <u/>
      <sz val="10.0"/>
      <color rgb="FF46BDC6"/>
      <name val="Lexend"/>
    </font>
    <font>
      <u/>
      <sz val="10.0"/>
      <color rgb="FF46BDC6"/>
      <name val="Lexend"/>
    </font>
    <font>
      <u/>
      <sz val="10.0"/>
      <color rgb="FF46BDC6"/>
      <name val="Lexend"/>
    </font>
    <font>
      <u/>
      <sz val="10.0"/>
      <color rgb="FF46BDC6"/>
      <name val="Lexend"/>
    </font>
    <font>
      <u/>
      <sz val="10.0"/>
      <color rgb="FF46BDC6"/>
      <name val="Lexend"/>
    </font>
    <font>
      <u/>
      <sz val="10.0"/>
      <color rgb="FF46BDC6"/>
      <name val="Lexend"/>
    </font>
    <font>
      <u/>
      <sz val="10.0"/>
      <color rgb="FF46BDC6"/>
      <name val="Lexend"/>
    </font>
  </fonts>
  <fills count="18">
    <fill>
      <patternFill patternType="none"/>
    </fill>
    <fill>
      <patternFill patternType="lightGray"/>
    </fill>
    <fill>
      <patternFill patternType="solid">
        <fgColor rgb="FF351C75"/>
        <bgColor rgb="FF351C75"/>
      </patternFill>
    </fill>
    <fill>
      <patternFill patternType="solid">
        <fgColor rgb="FFB4A7D6"/>
        <bgColor rgb="FFB4A7D6"/>
      </patternFill>
    </fill>
    <fill>
      <patternFill patternType="solid">
        <fgColor rgb="FFFFFFFF"/>
        <bgColor rgb="FFFFFFFF"/>
      </patternFill>
    </fill>
    <fill>
      <patternFill patternType="solid">
        <fgColor rgb="FF1B365D"/>
        <bgColor rgb="FF1B365D"/>
      </patternFill>
    </fill>
    <fill>
      <patternFill patternType="solid">
        <fgColor rgb="FFD9E2F3"/>
        <bgColor rgb="FFD9E2F3"/>
      </patternFill>
    </fill>
    <fill>
      <patternFill patternType="solid">
        <fgColor rgb="FFE8F0FE"/>
        <bgColor rgb="FFE8F0FE"/>
      </patternFill>
    </fill>
    <fill>
      <patternFill patternType="solid">
        <fgColor rgb="FFFFE599"/>
        <bgColor rgb="FFFFE599"/>
      </patternFill>
    </fill>
    <fill>
      <patternFill patternType="solid">
        <fgColor rgb="FFFEF7E0"/>
        <bgColor rgb="FFFEF7E0"/>
      </patternFill>
    </fill>
    <fill>
      <patternFill patternType="solid">
        <fgColor rgb="FFF1F3F4"/>
        <bgColor rgb="FFF1F3F4"/>
      </patternFill>
    </fill>
    <fill>
      <patternFill patternType="solid">
        <fgColor rgb="FFF3E8FD"/>
        <bgColor rgb="FFF3E8FD"/>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
      <patternFill patternType="solid">
        <fgColor rgb="FFD9D2E9"/>
        <bgColor rgb="FFD9D2E9"/>
      </patternFill>
    </fill>
  </fills>
  <borders count="28">
    <border/>
    <border>
      <left style="medium">
        <color rgb="FF351C75"/>
      </left>
      <right style="thin">
        <color rgb="FF351C75"/>
      </right>
      <top style="medium">
        <color rgb="FF351C75"/>
      </top>
      <bottom style="medium">
        <color rgb="FF351C75"/>
      </bottom>
    </border>
    <border>
      <left style="thin">
        <color rgb="FF351C75"/>
      </left>
      <top style="medium">
        <color rgb="FF351C75"/>
      </top>
      <bottom style="medium">
        <color rgb="FF351C75"/>
      </bottom>
    </border>
    <border>
      <top style="medium">
        <color rgb="FF351C75"/>
      </top>
      <bottom style="medium">
        <color rgb="FF351C75"/>
      </bottom>
    </border>
    <border>
      <right style="medium">
        <color rgb="FF351C75"/>
      </right>
      <top style="medium">
        <color rgb="FF351C75"/>
      </top>
      <bottom style="medium">
        <color rgb="FF351C75"/>
      </bottom>
    </border>
    <border>
      <left style="medium">
        <color rgb="FF351C75"/>
      </left>
      <right style="thin">
        <color rgb="FF351C75"/>
      </right>
      <top style="medium">
        <color rgb="FF351C75"/>
      </top>
      <bottom style="thin">
        <color rgb="FF351C75"/>
      </bottom>
    </border>
    <border>
      <left style="thin">
        <color rgb="FF351C75"/>
      </left>
      <right style="thin">
        <color rgb="FF351C75"/>
      </right>
      <top style="medium">
        <color rgb="FF351C75"/>
      </top>
      <bottom style="thin">
        <color rgb="FF351C75"/>
      </bottom>
    </border>
    <border>
      <left style="thin">
        <color rgb="FF351C75"/>
      </left>
      <right style="medium">
        <color rgb="FF351C75"/>
      </right>
      <top style="medium">
        <color rgb="FF351C75"/>
      </top>
      <bottom style="thin">
        <color rgb="FF351C75"/>
      </bottom>
    </border>
    <border>
      <left style="medium">
        <color rgb="FF351C75"/>
      </left>
      <right style="thin">
        <color rgb="FF351C75"/>
      </right>
      <top style="thin">
        <color rgb="FF351C75"/>
      </top>
      <bottom style="thin">
        <color rgb="FF351C75"/>
      </bottom>
    </border>
    <border>
      <left style="thin">
        <color rgb="FF351C75"/>
      </left>
      <right style="thin">
        <color rgb="FF351C75"/>
      </right>
      <top style="thin">
        <color rgb="FF351C75"/>
      </top>
      <bottom style="thin">
        <color rgb="FF351C75"/>
      </bottom>
    </border>
    <border>
      <left style="thin">
        <color rgb="FF351C75"/>
      </left>
      <right style="medium">
        <color rgb="FF351C75"/>
      </right>
      <top style="thin">
        <color rgb="FF351C75"/>
      </top>
      <bottom style="thin">
        <color rgb="FF351C75"/>
      </bottom>
    </border>
    <border>
      <left style="medium">
        <color rgb="FF351C75"/>
      </left>
      <right style="thin">
        <color rgb="FF351C75"/>
      </right>
      <top style="thin">
        <color rgb="FF351C75"/>
      </top>
      <bottom style="medium">
        <color rgb="FF351C75"/>
      </bottom>
    </border>
    <border>
      <left style="thin">
        <color rgb="FF351C75"/>
      </left>
      <right style="thin">
        <color rgb="FF351C75"/>
      </right>
      <top style="thin">
        <color rgb="FF351C75"/>
      </top>
      <bottom style="medium">
        <color rgb="FF351C75"/>
      </bottom>
    </border>
    <border>
      <left style="thin">
        <color rgb="FF351C75"/>
      </left>
      <right style="medium">
        <color rgb="FF351C75"/>
      </right>
      <top style="thin">
        <color rgb="FF351C75"/>
      </top>
      <bottom style="medium">
        <color rgb="FF351C75"/>
      </bottom>
    </border>
    <border>
      <bottom style="thin">
        <color rgb="FF000000"/>
      </bottom>
    </border>
    <border>
      <left style="thin">
        <color rgb="FF000000"/>
      </left>
      <right style="thin">
        <color rgb="FF000000"/>
      </right>
      <top style="thin">
        <color rgb="FF000000"/>
      </top>
      <bottom style="thin">
        <color rgb="FF000000"/>
      </bottom>
    </border>
    <border>
      <left style="medium">
        <color rgb="FF351C75"/>
      </left>
      <top style="thin">
        <color rgb="FF351C75"/>
      </top>
      <bottom style="thin">
        <color rgb="FF351C75"/>
      </bottom>
    </border>
    <border>
      <top style="thin">
        <color rgb="FF351C75"/>
      </top>
      <bottom style="thin">
        <color rgb="FF351C75"/>
      </bottom>
    </border>
    <border>
      <right style="medium">
        <color rgb="FF351C75"/>
      </right>
      <top style="thin">
        <color rgb="FF351C75"/>
      </top>
      <bottom style="thin">
        <color rgb="FF351C7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351C75"/>
      </left>
      <right style="thin">
        <color rgb="FF351C75"/>
      </right>
      <bottom style="thin">
        <color rgb="FF351C75"/>
      </bottom>
    </border>
    <border>
      <left style="thin">
        <color rgb="FF351C75"/>
      </left>
      <right style="thin">
        <color rgb="FF351C75"/>
      </right>
      <bottom style="thin">
        <color rgb="FF351C75"/>
      </bottom>
    </border>
    <border>
      <left style="thin">
        <color rgb="FF351C75"/>
      </left>
      <right style="medium">
        <color rgb="FF351C75"/>
      </right>
      <bottom style="thin">
        <color rgb="FF351C75"/>
      </bottom>
    </border>
    <border>
      <left style="medium">
        <color rgb="FF351C75"/>
      </left>
      <right style="thin">
        <color rgb="FF351C75"/>
      </right>
      <bottom style="medium">
        <color rgb="FF351C75"/>
      </bottom>
    </border>
    <border>
      <left style="thin">
        <color rgb="FF351C75"/>
      </left>
      <right style="thin">
        <color rgb="FF351C75"/>
      </right>
      <bottom style="medium">
        <color rgb="FF351C75"/>
      </bottom>
    </border>
    <border>
      <left style="thin">
        <color rgb="FF351C75"/>
      </left>
      <right style="medium">
        <color rgb="FF351C75"/>
      </right>
      <bottom style="medium">
        <color rgb="FF351C75"/>
      </bottom>
    </border>
  </borders>
  <cellStyleXfs count="1">
    <xf borderId="0" fillId="0" fontId="0" numFmtId="0" applyAlignment="1" applyFont="1"/>
  </cellStyleXfs>
  <cellXfs count="137">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3" numFmtId="0" xfId="0" applyAlignment="1" applyFont="1">
      <alignment readingOrder="0" shrinkToFit="0" vertical="center" wrapText="1"/>
    </xf>
    <xf borderId="1" fillId="0" fontId="4" numFmtId="0" xfId="0" applyAlignment="1" applyBorder="1" applyFont="1">
      <alignment horizontal="center" shrinkToFit="0" vertical="center" wrapText="1"/>
    </xf>
    <xf borderId="2" fillId="0" fontId="2" numFmtId="0" xfId="0" applyAlignment="1" applyBorder="1" applyFont="1">
      <alignment readingOrder="0" shrinkToFit="0" vertical="center" wrapText="1"/>
    </xf>
    <xf borderId="3" fillId="0" fontId="5" numFmtId="0" xfId="0" applyBorder="1" applyFont="1"/>
    <xf borderId="4" fillId="0" fontId="5" numFmtId="0" xfId="0" applyBorder="1" applyFont="1"/>
    <xf borderId="2" fillId="0" fontId="2" numFmtId="0" xfId="0" applyAlignment="1" applyBorder="1" applyFont="1">
      <alignment horizontal="left" readingOrder="0" shrinkToFit="0" vertical="center" wrapText="1"/>
    </xf>
    <xf borderId="0" fillId="0" fontId="6" numFmtId="0" xfId="0" applyAlignment="1" applyFont="1">
      <alignment horizontal="left" vertical="center"/>
    </xf>
    <xf borderId="0" fillId="0" fontId="7" numFmtId="0" xfId="0" applyAlignment="1" applyFont="1">
      <alignment shrinkToFit="0" vertical="center" wrapText="1"/>
    </xf>
    <xf borderId="5" fillId="3" fontId="8" numFmtId="0" xfId="0" applyAlignment="1" applyBorder="1" applyFill="1" applyFont="1">
      <alignment horizontal="center" shrinkToFit="0" vertical="center" wrapText="1"/>
    </xf>
    <xf borderId="6" fillId="3" fontId="8" numFmtId="0" xfId="0" applyAlignment="1" applyBorder="1" applyFill="1" applyFont="1">
      <alignment horizontal="center" shrinkToFit="0" vertical="center" wrapText="1"/>
    </xf>
    <xf borderId="7" fillId="3" fontId="8" numFmtId="0" xfId="0" applyAlignment="1" applyBorder="1" applyFill="1" applyFont="1">
      <alignment horizontal="center" shrinkToFit="0" vertical="center" wrapText="1"/>
    </xf>
    <xf borderId="8" fillId="0" fontId="9" numFmtId="0" xfId="0" applyAlignment="1" applyBorder="1" applyFont="1">
      <alignment horizontal="center" shrinkToFit="0" vertical="center" wrapText="1"/>
    </xf>
    <xf borderId="9" fillId="0" fontId="2" numFmtId="0" xfId="0" applyAlignment="1" applyBorder="1" applyFont="1">
      <alignment readingOrder="0" shrinkToFit="0" vertical="center" wrapText="1"/>
    </xf>
    <xf borderId="9" fillId="0" fontId="2" numFmtId="0" xfId="0" applyAlignment="1" applyBorder="1" applyFont="1">
      <alignment horizontal="center" shrinkToFit="0" vertical="center" wrapText="1"/>
    </xf>
    <xf borderId="10" fillId="0" fontId="10" numFmtId="0" xfId="0" applyAlignment="1" applyBorder="1" applyFont="1">
      <alignment shrinkToFit="0" vertical="center" wrapText="1"/>
    </xf>
    <xf borderId="11" fillId="0" fontId="9" numFmtId="0" xfId="0" applyAlignment="1" applyBorder="1" applyFont="1">
      <alignment horizontal="center" shrinkToFit="0" vertical="center" wrapText="1"/>
    </xf>
    <xf borderId="12" fillId="0" fontId="2" numFmtId="0" xfId="0" applyAlignment="1" applyBorder="1" applyFont="1">
      <alignment readingOrder="0" shrinkToFit="0" vertical="center" wrapText="1"/>
    </xf>
    <xf borderId="12" fillId="0" fontId="2" numFmtId="0" xfId="0" applyAlignment="1" applyBorder="1" applyFont="1">
      <alignment horizontal="center" shrinkToFit="0" vertical="center" wrapText="1"/>
    </xf>
    <xf borderId="13" fillId="0" fontId="2" numFmtId="0" xfId="0" applyAlignment="1" applyBorder="1" applyFont="1">
      <alignment shrinkToFit="0" vertical="center" wrapText="1"/>
    </xf>
    <xf borderId="0" fillId="0" fontId="6" numFmtId="0" xfId="0" applyAlignment="1" applyFont="1">
      <alignment horizontal="left" readingOrder="0" vertical="center"/>
    </xf>
    <xf borderId="14" fillId="4" fontId="11" numFmtId="0" xfId="0" applyAlignment="1" applyBorder="1" applyFill="1" applyFont="1">
      <alignment vertical="center"/>
    </xf>
    <xf borderId="0" fillId="4" fontId="11" numFmtId="0" xfId="0" applyAlignment="1" applyFill="1" applyFont="1">
      <alignment vertical="center"/>
    </xf>
    <xf borderId="15" fillId="3" fontId="12" numFmtId="0" xfId="0" applyAlignment="1" applyBorder="1" applyFill="1" applyFont="1">
      <alignment horizontal="center" readingOrder="0" shrinkToFit="0" vertical="center" wrapText="1"/>
    </xf>
    <xf borderId="0" fillId="0" fontId="13" numFmtId="0" xfId="0" applyAlignment="1" applyFont="1">
      <alignment vertical="center"/>
    </xf>
    <xf borderId="15" fillId="4" fontId="14" numFmtId="0" xfId="0" applyAlignment="1" applyBorder="1" applyFill="1" applyFont="1">
      <alignment horizontal="left" readingOrder="0" shrinkToFit="0" vertical="center" wrapText="1"/>
    </xf>
    <xf borderId="15" fillId="4" fontId="15" numFmtId="0" xfId="0" applyAlignment="1" applyBorder="1" applyFill="1" applyFont="1">
      <alignment horizontal="left" readingOrder="0" shrinkToFit="0" vertical="center" wrapText="1"/>
    </xf>
    <xf borderId="0" fillId="2" fontId="1" numFmtId="0" xfId="0" applyAlignment="1" applyFill="1" applyFont="1">
      <alignment horizontal="center" shrinkToFit="0" vertical="center" wrapText="1"/>
    </xf>
    <xf borderId="5" fillId="3" fontId="16" numFmtId="0" xfId="0" applyAlignment="1" applyBorder="1" applyFill="1" applyFont="1">
      <alignment horizontal="center" readingOrder="0" shrinkToFit="0" vertical="center" wrapText="1"/>
    </xf>
    <xf borderId="6" fillId="3" fontId="16" numFmtId="0" xfId="0" applyAlignment="1" applyBorder="1" applyFill="1" applyFont="1">
      <alignment horizontal="center" shrinkToFit="0" vertical="center" wrapText="1"/>
    </xf>
    <xf borderId="7" fillId="3" fontId="16" numFmtId="0" xfId="0" applyAlignment="1" applyBorder="1" applyFill="1" applyFont="1">
      <alignment horizontal="center" shrinkToFit="0" vertical="center" wrapText="1"/>
    </xf>
    <xf borderId="8" fillId="4" fontId="17" numFmtId="0" xfId="0" applyAlignment="1" applyBorder="1" applyFill="1" applyFont="1">
      <alignment horizontal="center" readingOrder="0" shrinkToFit="0" vertical="center" wrapText="1"/>
    </xf>
    <xf borderId="9" fillId="4" fontId="17" numFmtId="0" xfId="0" applyAlignment="1" applyBorder="1" applyFill="1" applyFont="1">
      <alignment horizontal="center" shrinkToFit="0" vertical="center" wrapText="1"/>
    </xf>
    <xf borderId="9" fillId="4" fontId="18" numFmtId="0" xfId="0" applyAlignment="1" applyBorder="1" applyFill="1" applyFont="1">
      <alignment horizontal="center" shrinkToFit="0" vertical="center" wrapText="1"/>
    </xf>
    <xf borderId="9" fillId="4" fontId="19" numFmtId="0" xfId="0" applyAlignment="1" applyBorder="1" applyFill="1" applyFont="1">
      <alignment horizontal="center" shrinkToFit="0" vertical="center" wrapText="1"/>
    </xf>
    <xf borderId="10" fillId="4" fontId="19" numFmtId="0" xfId="0" applyAlignment="1" applyBorder="1" applyFill="1" applyFont="1">
      <alignment horizontal="left" shrinkToFit="0" vertical="center" wrapText="1"/>
    </xf>
    <xf borderId="16" fillId="2" fontId="20" numFmtId="0" xfId="0" applyAlignment="1" applyBorder="1" applyFill="1" applyFont="1">
      <alignment horizontal="left" shrinkToFit="0" vertical="center" wrapText="1"/>
    </xf>
    <xf borderId="17" fillId="0" fontId="5" numFmtId="0" xfId="0" applyBorder="1" applyFont="1"/>
    <xf borderId="18" fillId="0" fontId="5" numFmtId="0" xfId="0" applyBorder="1" applyFont="1"/>
    <xf borderId="8" fillId="3" fontId="16" numFmtId="0" xfId="0" applyAlignment="1" applyBorder="1" applyFill="1" applyFont="1">
      <alignment horizontal="center" readingOrder="0" shrinkToFit="0" vertical="center" wrapText="1"/>
    </xf>
    <xf borderId="9" fillId="3" fontId="16" numFmtId="0" xfId="0" applyAlignment="1" applyBorder="1" applyFill="1" applyFont="1">
      <alignment horizontal="center" shrinkToFit="0" vertical="center" wrapText="1"/>
    </xf>
    <xf borderId="10" fillId="3" fontId="16" numFmtId="0" xfId="0" applyAlignment="1" applyBorder="1" applyFill="1" applyFont="1">
      <alignment horizontal="center" shrinkToFit="0" vertical="center" wrapText="1"/>
    </xf>
    <xf borderId="11" fillId="4" fontId="17" numFmtId="0" xfId="0" applyAlignment="1" applyBorder="1" applyFill="1" applyFont="1">
      <alignment horizontal="center" readingOrder="0" shrinkToFit="0" vertical="center" wrapText="1"/>
    </xf>
    <xf borderId="12" fillId="4" fontId="17" numFmtId="0" xfId="0" applyAlignment="1" applyBorder="1" applyFill="1" applyFont="1">
      <alignment horizontal="center" shrinkToFit="0" vertical="center" wrapText="1"/>
    </xf>
    <xf borderId="12" fillId="4" fontId="21" numFmtId="0" xfId="0" applyAlignment="1" applyBorder="1" applyFill="1" applyFont="1">
      <alignment horizontal="center" shrinkToFit="0" vertical="center" wrapText="1"/>
    </xf>
    <xf borderId="12" fillId="4" fontId="19" numFmtId="0" xfId="0" applyAlignment="1" applyBorder="1" applyFill="1" applyFont="1">
      <alignment horizontal="center" shrinkToFit="0" vertical="center" wrapText="1"/>
    </xf>
    <xf borderId="13" fillId="4" fontId="19" numFmtId="0" xfId="0" applyAlignment="1" applyBorder="1" applyFill="1" applyFont="1">
      <alignment horizontal="left" shrinkToFit="0" vertical="center" wrapText="1"/>
    </xf>
    <xf borderId="19" fillId="5" fontId="22" numFmtId="0" xfId="0" applyAlignment="1" applyBorder="1" applyFill="1" applyFont="1">
      <alignment horizontal="center" readingOrder="0" vertical="center"/>
    </xf>
    <xf borderId="20" fillId="0" fontId="5" numFmtId="0" xfId="0" applyBorder="1" applyFont="1"/>
    <xf borderId="21" fillId="0" fontId="5" numFmtId="0" xfId="0" applyBorder="1" applyFont="1"/>
    <xf borderId="15" fillId="6" fontId="23" numFmtId="0" xfId="0" applyAlignment="1" applyBorder="1" applyFill="1" applyFont="1">
      <alignment horizontal="center" readingOrder="0" shrinkToFit="0" vertical="center" wrapText="1"/>
    </xf>
    <xf borderId="15" fillId="0" fontId="9" numFmtId="0" xfId="0" applyAlignment="1" applyBorder="1" applyFont="1">
      <alignment horizontal="center" readingOrder="0" shrinkToFit="0" vertical="center" wrapText="1"/>
    </xf>
    <xf borderId="15" fillId="7" fontId="9" numFmtId="0" xfId="0" applyAlignment="1" applyBorder="1" applyFill="1" applyFont="1">
      <alignment horizontal="center" readingOrder="0" shrinkToFit="0" vertical="center" wrapText="1"/>
    </xf>
    <xf borderId="15" fillId="0" fontId="24" numFmtId="164" xfId="0" applyAlignment="1" applyBorder="1" applyFont="1" applyNumberFormat="1">
      <alignment horizontal="center" readingOrder="0" shrinkToFit="0" vertical="center" wrapText="1"/>
    </xf>
    <xf borderId="15" fillId="0" fontId="24" numFmtId="0" xfId="0" applyAlignment="1" applyBorder="1" applyFont="1">
      <alignment horizontal="center" readingOrder="0" shrinkToFit="0" vertical="center" wrapText="1"/>
    </xf>
    <xf borderId="15" fillId="8" fontId="24" numFmtId="0" xfId="0" applyAlignment="1" applyBorder="1" applyFill="1" applyFont="1">
      <alignment horizontal="center" readingOrder="0" shrinkToFit="0" vertical="center" wrapText="1"/>
    </xf>
    <xf borderId="15" fillId="0" fontId="24" numFmtId="0" xfId="0" applyAlignment="1" applyBorder="1" applyFont="1">
      <alignment horizontal="center" readingOrder="0" shrinkToFit="0" vertical="center" wrapText="1"/>
    </xf>
    <xf borderId="15" fillId="4" fontId="9" numFmtId="0" xfId="0" applyAlignment="1" applyBorder="1" applyFill="1" applyFont="1">
      <alignment horizontal="center" readingOrder="0" shrinkToFit="0" vertical="center" wrapText="1"/>
    </xf>
    <xf borderId="15" fillId="0" fontId="2" numFmtId="0" xfId="0" applyAlignment="1" applyBorder="1" applyFont="1">
      <alignment readingOrder="0" shrinkToFit="0" vertical="center" wrapText="1"/>
    </xf>
    <xf borderId="15" fillId="8" fontId="24" numFmtId="0" xfId="0" applyAlignment="1" applyBorder="1" applyFill="1" applyFont="1">
      <alignment horizontal="center" readingOrder="0" shrinkToFit="0" vertical="center" wrapText="1"/>
    </xf>
    <xf borderId="15" fillId="9" fontId="9" numFmtId="0" xfId="0" applyAlignment="1" applyBorder="1" applyFill="1" applyFont="1">
      <alignment horizontal="center" readingOrder="0" shrinkToFit="0" vertical="center" wrapText="1"/>
    </xf>
    <xf borderId="15" fillId="0" fontId="2" numFmtId="0" xfId="0" applyAlignment="1" applyBorder="1" applyFont="1">
      <alignment horizontal="center" readingOrder="0" shrinkToFit="0" vertical="center" wrapText="1"/>
    </xf>
    <xf borderId="15" fillId="8" fontId="19" numFmtId="0" xfId="0" applyAlignment="1" applyBorder="1" applyFill="1" applyFont="1">
      <alignment readingOrder="0" shrinkToFit="0" vertical="center" wrapText="1"/>
    </xf>
    <xf borderId="15" fillId="0" fontId="19" numFmtId="0" xfId="0" applyAlignment="1" applyBorder="1" applyFont="1">
      <alignment horizontal="center" readingOrder="0" shrinkToFit="0" vertical="center" wrapText="1"/>
    </xf>
    <xf borderId="15" fillId="8" fontId="2" numFmtId="0" xfId="0" applyAlignment="1" applyBorder="1" applyFill="1" applyFont="1">
      <alignment horizontal="center" readingOrder="0" shrinkToFit="0" vertical="center" wrapText="1"/>
    </xf>
    <xf borderId="15" fillId="10" fontId="9" numFmtId="0" xfId="0" applyAlignment="1" applyBorder="1" applyFill="1" applyFont="1">
      <alignment readingOrder="0" shrinkToFit="0" vertical="center" wrapText="1"/>
    </xf>
    <xf borderId="15" fillId="4" fontId="19" numFmtId="0" xfId="0" applyAlignment="1" applyBorder="1" applyFill="1" applyFont="1">
      <alignment horizontal="center" readingOrder="0" shrinkToFit="0" vertical="center" wrapText="1"/>
    </xf>
    <xf borderId="15" fillId="8" fontId="19" numFmtId="0" xfId="0" applyAlignment="1" applyBorder="1" applyFill="1" applyFont="1">
      <alignment horizontal="center" readingOrder="0" shrinkToFit="0" vertical="center" wrapText="1"/>
    </xf>
    <xf borderId="15" fillId="4" fontId="19" numFmtId="0" xfId="0" applyAlignment="1" applyBorder="1" applyFill="1" applyFont="1">
      <alignment readingOrder="0" shrinkToFit="0" vertical="center" wrapText="1"/>
    </xf>
    <xf borderId="15" fillId="10" fontId="25" numFmtId="0" xfId="0" applyAlignment="1" applyBorder="1" applyFill="1" applyFont="1">
      <alignment readingOrder="0" shrinkToFit="0" vertical="center" wrapText="1"/>
    </xf>
    <xf borderId="15" fillId="11" fontId="9" numFmtId="0" xfId="0" applyAlignment="1" applyBorder="1" applyFill="1" applyFont="1">
      <alignment horizontal="center" readingOrder="0" shrinkToFit="0" vertical="center" wrapText="1"/>
    </xf>
    <xf borderId="15" fillId="0" fontId="2" numFmtId="164" xfId="0" applyAlignment="1" applyBorder="1" applyFont="1" applyNumberFormat="1">
      <alignment horizontal="center" readingOrder="0" shrinkToFit="0" vertical="center" wrapText="1"/>
    </xf>
    <xf borderId="15" fillId="4" fontId="9" numFmtId="0" xfId="0" applyAlignment="1" applyBorder="1" applyFill="1" applyFont="1">
      <alignment readingOrder="0" shrinkToFit="0" vertical="center" wrapText="1"/>
    </xf>
    <xf borderId="15" fillId="4" fontId="2" numFmtId="164" xfId="0" applyAlignment="1" applyBorder="1" applyFill="1" applyFont="1" applyNumberFormat="1">
      <alignment horizontal="center" readingOrder="0" shrinkToFit="0" vertical="center" wrapText="1"/>
    </xf>
    <xf borderId="15" fillId="4" fontId="2" numFmtId="0" xfId="0" applyAlignment="1" applyBorder="1" applyFill="1" applyFont="1">
      <alignment horizontal="center" readingOrder="0" shrinkToFit="0" vertical="center" wrapText="1"/>
    </xf>
    <xf borderId="15" fillId="4" fontId="2" numFmtId="0" xfId="0" applyAlignment="1" applyBorder="1" applyFill="1" applyFont="1">
      <alignment readingOrder="0" shrinkToFit="0" vertical="center" wrapText="1"/>
    </xf>
    <xf borderId="15" fillId="4" fontId="2" numFmtId="0" xfId="0" applyAlignment="1" applyBorder="1" applyFill="1" applyFont="1">
      <alignment readingOrder="0" shrinkToFit="0" vertical="center" wrapText="1"/>
    </xf>
    <xf borderId="15" fillId="10" fontId="26" numFmtId="0" xfId="0" applyAlignment="1" applyBorder="1" applyFill="1" applyFont="1">
      <alignment readingOrder="0" shrinkToFit="0" vertical="center" wrapText="1"/>
    </xf>
    <xf borderId="15" fillId="12" fontId="26" numFmtId="0" xfId="0" applyAlignment="1" applyBorder="1" applyFill="1" applyFont="1">
      <alignment horizontal="center" readingOrder="0" shrinkToFit="0" vertical="center" wrapText="1"/>
    </xf>
    <xf borderId="15" fillId="13" fontId="26" numFmtId="0" xfId="0" applyAlignment="1" applyBorder="1" applyFill="1" applyFont="1">
      <alignment horizontal="center" readingOrder="0" shrinkToFit="0" vertical="center" wrapText="1"/>
    </xf>
    <xf borderId="15" fillId="14" fontId="26" numFmtId="0" xfId="0" applyAlignment="1" applyBorder="1" applyFill="1" applyFont="1">
      <alignment horizontal="center" readingOrder="0" shrinkToFit="0" vertical="center" wrapText="1"/>
    </xf>
    <xf borderId="15" fillId="15" fontId="26" numFmtId="0" xfId="0" applyAlignment="1" applyBorder="1" applyFill="1" applyFont="1">
      <alignment horizontal="center" readingOrder="0" shrinkToFit="0" vertical="center" wrapText="1"/>
    </xf>
    <xf borderId="15" fillId="16" fontId="26" numFmtId="0" xfId="0" applyAlignment="1" applyBorder="1" applyFill="1" applyFont="1">
      <alignment horizontal="center" readingOrder="0" shrinkToFit="0" vertical="center" wrapText="1"/>
    </xf>
    <xf borderId="15" fillId="17" fontId="26" numFmtId="0" xfId="0" applyAlignment="1" applyBorder="1" applyFill="1" applyFont="1">
      <alignment horizontal="center" readingOrder="0" shrinkToFit="0" vertical="center" wrapText="1"/>
    </xf>
    <xf borderId="15" fillId="4" fontId="26" numFmtId="0" xfId="0" applyBorder="1" applyFill="1" applyFont="1"/>
    <xf borderId="0" fillId="0" fontId="7" numFmtId="0" xfId="0" applyAlignment="1" applyFont="1">
      <alignment readingOrder="0"/>
    </xf>
    <xf borderId="0" fillId="0" fontId="7" numFmtId="0" xfId="0" applyFont="1"/>
    <xf borderId="9" fillId="4" fontId="27" numFmtId="0" xfId="0" applyAlignment="1" applyBorder="1" applyFill="1" applyFont="1">
      <alignment horizontal="center" shrinkToFit="0" vertical="center" wrapText="1"/>
    </xf>
    <xf borderId="9" fillId="4" fontId="19" numFmtId="0" xfId="0" applyAlignment="1" applyBorder="1" applyFill="1" applyFont="1">
      <alignment horizontal="left" shrinkToFit="0" vertical="center" wrapText="1"/>
    </xf>
    <xf borderId="10" fillId="4" fontId="19" numFmtId="0" xfId="0" applyAlignment="1" applyBorder="1" applyFill="1" applyFont="1">
      <alignment horizontal="center" shrinkToFit="0" vertical="center" wrapText="1"/>
    </xf>
    <xf borderId="12" fillId="4" fontId="28" numFmtId="0" xfId="0" applyAlignment="1" applyBorder="1" applyFill="1" applyFont="1">
      <alignment horizontal="center" shrinkToFit="0" vertical="center" wrapText="1"/>
    </xf>
    <xf borderId="12" fillId="4" fontId="19" numFmtId="0" xfId="0" applyAlignment="1" applyBorder="1" applyFill="1" applyFont="1">
      <alignment horizontal="left" shrinkToFit="0" vertical="center" wrapText="1"/>
    </xf>
    <xf borderId="13" fillId="4" fontId="19" numFmtId="0" xfId="0" applyAlignment="1" applyBorder="1" applyFill="1" applyFont="1">
      <alignment horizontal="center" shrinkToFit="0" vertical="center" wrapText="1"/>
    </xf>
    <xf borderId="22" fillId="4" fontId="17" numFmtId="0" xfId="0" applyAlignment="1" applyBorder="1" applyFill="1" applyFont="1">
      <alignment horizontal="center" readingOrder="0" shrinkToFit="0" vertical="center" wrapText="1"/>
    </xf>
    <xf borderId="23" fillId="4" fontId="29" numFmtId="0" xfId="0" applyAlignment="1" applyBorder="1" applyFill="1" applyFont="1">
      <alignment horizontal="center" shrinkToFit="0" vertical="center" wrapText="1"/>
    </xf>
    <xf borderId="23" fillId="4" fontId="19" numFmtId="0" xfId="0" applyAlignment="1" applyBorder="1" applyFill="1" applyFont="1">
      <alignment horizontal="center" shrinkToFit="0" vertical="center" wrapText="1"/>
    </xf>
    <xf borderId="23" fillId="4" fontId="19" numFmtId="0" xfId="0" applyAlignment="1" applyBorder="1" applyFill="1" applyFont="1">
      <alignment horizontal="left" shrinkToFit="0" vertical="center" wrapText="1"/>
    </xf>
    <xf borderId="23" fillId="4" fontId="30" numFmtId="0" xfId="0" applyAlignment="1" applyBorder="1" applyFill="1" applyFont="1">
      <alignment horizontal="center" shrinkToFit="0" vertical="center" wrapText="1"/>
    </xf>
    <xf borderId="24" fillId="4" fontId="19" numFmtId="0" xfId="0" applyAlignment="1" applyBorder="1" applyFill="1" applyFont="1">
      <alignment horizontal="center" shrinkToFit="0" vertical="center" wrapText="1"/>
    </xf>
    <xf borderId="13" fillId="4" fontId="19" numFmtId="0" xfId="0" applyAlignment="1" applyBorder="1" applyFill="1" applyFont="1">
      <alignment horizontal="center" readingOrder="0" shrinkToFit="0" vertical="center" wrapText="1"/>
    </xf>
    <xf borderId="23" fillId="4" fontId="17" numFmtId="0" xfId="0" applyAlignment="1" applyBorder="1" applyFill="1" applyFont="1">
      <alignment horizontal="center" shrinkToFit="0" vertical="center" wrapText="1"/>
    </xf>
    <xf borderId="25" fillId="4" fontId="17" numFmtId="0" xfId="0" applyAlignment="1" applyBorder="1" applyFill="1" applyFont="1">
      <alignment horizontal="center" readingOrder="0" shrinkToFit="0" vertical="center" wrapText="1"/>
    </xf>
    <xf borderId="26" fillId="4" fontId="17" numFmtId="0" xfId="0" applyAlignment="1" applyBorder="1" applyFill="1" applyFont="1">
      <alignment horizontal="center" shrinkToFit="0" vertical="center" wrapText="1"/>
    </xf>
    <xf borderId="26" fillId="4" fontId="19" numFmtId="0" xfId="0" applyAlignment="1" applyBorder="1" applyFill="1" applyFont="1">
      <alignment horizontal="center" shrinkToFit="0" vertical="center" wrapText="1"/>
    </xf>
    <xf borderId="26" fillId="4" fontId="19" numFmtId="0" xfId="0" applyAlignment="1" applyBorder="1" applyFill="1" applyFont="1">
      <alignment horizontal="left" shrinkToFit="0" vertical="center" wrapText="1"/>
    </xf>
    <xf borderId="26" fillId="4" fontId="31" numFmtId="0" xfId="0" applyAlignment="1" applyBorder="1" applyFill="1" applyFont="1">
      <alignment horizontal="center" shrinkToFit="0" vertical="center" wrapText="1"/>
    </xf>
    <xf borderId="27" fillId="4" fontId="19" numFmtId="0" xfId="0" applyAlignment="1" applyBorder="1" applyFill="1" applyFont="1">
      <alignment horizontal="center" shrinkToFit="0" vertical="center" wrapText="1"/>
    </xf>
    <xf borderId="10" fillId="4" fontId="19" numFmtId="0" xfId="0" applyAlignment="1" applyBorder="1" applyFill="1" applyFont="1">
      <alignment horizontal="center" readingOrder="0" shrinkToFit="0" vertical="center" wrapText="1"/>
    </xf>
    <xf borderId="24" fillId="4" fontId="19" numFmtId="0" xfId="0" applyAlignment="1" applyBorder="1" applyFill="1" applyFont="1">
      <alignment horizontal="center" readingOrder="0" shrinkToFit="0" vertical="center" wrapText="1"/>
    </xf>
    <xf borderId="9" fillId="4" fontId="19" numFmtId="0" xfId="0" applyAlignment="1" applyBorder="1" applyFill="1" applyFont="1">
      <alignment horizontal="left" readingOrder="0" shrinkToFit="0" vertical="center" wrapText="1"/>
    </xf>
    <xf borderId="5" fillId="17" fontId="16" numFmtId="0" xfId="0" applyAlignment="1" applyBorder="1" applyFill="1" applyFont="1">
      <alignment horizontal="center" shrinkToFit="0" vertical="center" wrapText="1"/>
    </xf>
    <xf borderId="6" fillId="17" fontId="16" numFmtId="0" xfId="0" applyAlignment="1" applyBorder="1" applyFill="1" applyFont="1">
      <alignment horizontal="center" shrinkToFit="0" vertical="center" wrapText="1"/>
    </xf>
    <xf borderId="7" fillId="17" fontId="16" numFmtId="0" xfId="0" applyAlignment="1" applyBorder="1" applyFill="1" applyFont="1">
      <alignment horizontal="center" shrinkToFit="0" vertical="center" wrapText="1"/>
    </xf>
    <xf borderId="8" fillId="4" fontId="17" numFmtId="0" xfId="0" applyAlignment="1" applyBorder="1" applyFill="1" applyFont="1">
      <alignment horizontal="center" shrinkToFit="0" vertical="center" wrapText="1"/>
    </xf>
    <xf borderId="11" fillId="4" fontId="17" numFmtId="0" xfId="0" applyAlignment="1" applyBorder="1" applyFill="1" applyFont="1">
      <alignment horizontal="center" shrinkToFit="0" vertical="center" wrapText="1"/>
    </xf>
    <xf borderId="9" fillId="4" fontId="19" numFmtId="0" xfId="0" applyAlignment="1" applyBorder="1" applyFill="1" applyFont="1">
      <alignment horizontal="center" readingOrder="0" shrinkToFit="0" vertical="center" wrapText="1"/>
    </xf>
    <xf borderId="8" fillId="3" fontId="16" numFmtId="0" xfId="0" applyAlignment="1" applyBorder="1" applyFill="1" applyFont="1">
      <alignment horizontal="center" shrinkToFit="0" vertical="center" wrapText="1"/>
    </xf>
    <xf borderId="9" fillId="3" fontId="16" numFmtId="0" xfId="0" applyAlignment="1" applyBorder="1" applyFill="1" applyFont="1">
      <alignment horizontal="center" readingOrder="0" shrinkToFit="0" vertical="center" wrapText="1"/>
    </xf>
    <xf borderId="9" fillId="4" fontId="17" numFmtId="0" xfId="0" applyAlignment="1" applyBorder="1" applyFill="1" applyFont="1">
      <alignment horizontal="center" readingOrder="0" shrinkToFit="0" vertical="center" wrapText="1"/>
    </xf>
    <xf quotePrefix="1" borderId="9" fillId="4" fontId="19" numFmtId="0" xfId="0" applyAlignment="1" applyBorder="1" applyFill="1" applyFont="1">
      <alignment horizontal="left" shrinkToFit="0" vertical="center" wrapText="1"/>
    </xf>
    <xf quotePrefix="1" borderId="12" fillId="4" fontId="19" numFmtId="0" xfId="0" applyAlignment="1" applyBorder="1" applyFill="1" applyFont="1">
      <alignment horizontal="left" shrinkToFit="0" vertical="center" wrapText="1"/>
    </xf>
    <xf borderId="12" fillId="4" fontId="19" numFmtId="0" xfId="0" applyAlignment="1" applyBorder="1" applyFill="1" applyFont="1">
      <alignment horizontal="center" readingOrder="0" shrinkToFit="0" vertical="center" wrapText="1"/>
    </xf>
    <xf borderId="5" fillId="3" fontId="16" numFmtId="0" xfId="0" applyAlignment="1" applyBorder="1" applyFill="1" applyFont="1">
      <alignment horizontal="center" shrinkToFit="0" vertical="center" wrapText="1"/>
    </xf>
    <xf quotePrefix="1" borderId="9" fillId="4" fontId="19" numFmtId="0" xfId="0" applyAlignment="1" applyBorder="1" applyFill="1" applyFont="1">
      <alignment horizontal="center" shrinkToFit="0" vertical="center" wrapText="1"/>
    </xf>
    <xf borderId="10" fillId="4" fontId="19" numFmtId="0" xfId="0" applyAlignment="1" applyBorder="1" applyFill="1" applyFont="1">
      <alignment horizontal="left" readingOrder="0" shrinkToFit="0" vertical="center" wrapText="1"/>
    </xf>
    <xf quotePrefix="1" borderId="12" fillId="4" fontId="19" numFmtId="0" xfId="0" applyAlignment="1" applyBorder="1" applyFill="1" applyFont="1">
      <alignment horizontal="center" shrinkToFit="0" vertical="center" wrapText="1"/>
    </xf>
    <xf borderId="9" fillId="4" fontId="32" numFmtId="0" xfId="0" applyAlignment="1" applyBorder="1" applyFill="1" applyFont="1">
      <alignment horizontal="center" readingOrder="0" shrinkToFit="0" vertical="center" wrapText="1"/>
    </xf>
    <xf borderId="12" fillId="4" fontId="33" numFmtId="0" xfId="0" applyAlignment="1" applyBorder="1" applyFill="1" applyFont="1">
      <alignment horizontal="center" readingOrder="0" shrinkToFit="0" vertical="center" wrapText="1"/>
    </xf>
    <xf borderId="26" fillId="4" fontId="34" numFmtId="0" xfId="0" applyAlignment="1" applyBorder="1" applyFill="1" applyFont="1">
      <alignment horizontal="center" readingOrder="0" shrinkToFit="0" vertical="center" wrapText="1"/>
    </xf>
    <xf borderId="27" fillId="4" fontId="19" numFmtId="0" xfId="0" applyAlignment="1" applyBorder="1" applyFill="1" applyFont="1">
      <alignment horizontal="center" readingOrder="0" shrinkToFit="0" vertical="center" wrapText="1"/>
    </xf>
    <xf borderId="23" fillId="4" fontId="35" numFmtId="0" xfId="0" applyAlignment="1" applyBorder="1" applyFill="1" applyFont="1">
      <alignment horizontal="center" readingOrder="0" shrinkToFit="0" vertical="center" wrapText="1"/>
    </xf>
    <xf borderId="8" fillId="4" fontId="17" numFmtId="0" xfId="0" applyAlignment="1" applyBorder="1" applyFill="1" applyFont="1">
      <alignment horizontal="center" readingOrder="0" shrinkToFit="0" vertical="center" wrapText="1"/>
    </xf>
    <xf borderId="9" fillId="4" fontId="17" numFmtId="0" xfId="0" applyAlignment="1" applyBorder="1" applyFill="1" applyFont="1">
      <alignment horizontal="center" readingOrder="0" shrinkToFit="0" vertical="center" wrapText="1"/>
    </xf>
    <xf borderId="9" fillId="4" fontId="19" numFmtId="0" xfId="0" applyAlignment="1" applyBorder="1" applyFill="1" applyFont="1">
      <alignment horizontal="left" readingOrder="0" shrinkToFit="0" vertical="center" wrapText="1"/>
    </xf>
    <xf borderId="10" fillId="4" fontId="36" numFmtId="0" xfId="0" applyAlignment="1" applyBorder="1" applyFill="1" applyFont="1">
      <alignment horizontal="center" shrinkToFit="0" vertical="center" wrapText="1"/>
    </xf>
  </cellXfs>
  <cellStyles count="1">
    <cellStyle xfId="0" name="Normal" builtinId="0"/>
  </cellStyles>
  <dxfs count="2">
    <dxf>
      <font/>
      <fill>
        <patternFill patternType="solid">
          <fgColor rgb="FFFFF4D6"/>
          <bgColor rgb="FFFFF4D6"/>
        </patternFill>
      </fill>
      <border/>
    </dxf>
    <dxf>
      <font/>
      <fill>
        <patternFill patternType="solid">
          <fgColor rgb="FFE2F4E8"/>
          <bgColor rgb="FFE2F4E8"/>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ào Phú" id="{ac5aa074-632d-47cf-bf9b-28f58e009d6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6-10-21T06:46:05.00" personId="{ac5aa074-632d-47cf-bf9b-28f58e009d6e}" id="{5fa6ba2c-7c9f-4d7a-81a1-cc1f84420670}" done="0">
    <x18tc:text xml:space="preserve">nhận hay nhặt?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 width="104.71"/>
    <col customWidth="1" min="3" max="3" width="52.0"/>
    <col customWidth="1" min="4" max="4" width="41.86"/>
    <col customWidth="1" min="5" max="27" width="8.71"/>
  </cols>
  <sheetData>
    <row r="1" ht="35.25" customHeight="1">
      <c r="A1" s="1" t="s">
        <v>0</v>
      </c>
      <c r="E1" s="2"/>
      <c r="F1" s="2"/>
      <c r="G1" s="2"/>
      <c r="H1" s="2"/>
      <c r="I1" s="2"/>
      <c r="J1" s="2"/>
      <c r="K1" s="2"/>
      <c r="L1" s="2"/>
      <c r="M1" s="2"/>
      <c r="N1" s="2"/>
      <c r="O1" s="2"/>
      <c r="P1" s="2"/>
      <c r="Q1" s="2"/>
      <c r="R1" s="2"/>
      <c r="S1" s="2"/>
      <c r="T1" s="2"/>
      <c r="U1" s="2"/>
      <c r="V1" s="2"/>
      <c r="W1" s="2"/>
      <c r="X1" s="2"/>
      <c r="Y1" s="2"/>
      <c r="Z1" s="2"/>
      <c r="AA1" s="2"/>
    </row>
    <row r="2" ht="23.25" customHeight="1">
      <c r="A2" s="2" t="s">
        <v>1</v>
      </c>
      <c r="B2" s="2" t="s">
        <v>2</v>
      </c>
      <c r="C2" s="2"/>
      <c r="D2" s="2"/>
      <c r="E2" s="2"/>
      <c r="F2" s="2"/>
      <c r="G2" s="2"/>
      <c r="H2" s="2"/>
      <c r="I2" s="2"/>
      <c r="J2" s="2"/>
      <c r="K2" s="2"/>
      <c r="L2" s="2"/>
      <c r="M2" s="2"/>
      <c r="N2" s="2"/>
      <c r="O2" s="2"/>
      <c r="P2" s="2"/>
      <c r="Q2" s="2"/>
      <c r="R2" s="2"/>
      <c r="S2" s="2"/>
      <c r="T2" s="2"/>
      <c r="U2" s="2"/>
      <c r="V2" s="2"/>
      <c r="W2" s="2"/>
      <c r="X2" s="2"/>
      <c r="Y2" s="2"/>
      <c r="Z2" s="2"/>
      <c r="AA2" s="2"/>
    </row>
    <row r="3" ht="23.25" customHeight="1">
      <c r="A3" s="2" t="s">
        <v>3</v>
      </c>
      <c r="B3" s="3" t="s">
        <v>4</v>
      </c>
      <c r="C3" s="2"/>
      <c r="D3" s="2"/>
      <c r="E3" s="2"/>
      <c r="F3" s="2"/>
      <c r="G3" s="2"/>
      <c r="H3" s="2"/>
      <c r="I3" s="2"/>
      <c r="J3" s="2"/>
      <c r="K3" s="2"/>
      <c r="L3" s="2"/>
      <c r="M3" s="2"/>
      <c r="N3" s="2"/>
      <c r="O3" s="2"/>
      <c r="P3" s="2"/>
      <c r="Q3" s="2"/>
      <c r="R3" s="2"/>
      <c r="S3" s="2"/>
      <c r="T3" s="2"/>
      <c r="U3" s="2"/>
      <c r="V3" s="2"/>
      <c r="W3" s="2"/>
      <c r="X3" s="2"/>
      <c r="Y3" s="2"/>
      <c r="Z3" s="2"/>
      <c r="AA3" s="2"/>
    </row>
    <row r="4" ht="23.25" customHeight="1">
      <c r="A4" s="2"/>
      <c r="B4" s="2"/>
      <c r="C4" s="2"/>
      <c r="D4" s="2"/>
      <c r="E4" s="2"/>
      <c r="F4" s="2"/>
      <c r="G4" s="2"/>
      <c r="H4" s="2"/>
      <c r="I4" s="2"/>
      <c r="J4" s="2"/>
      <c r="K4" s="2"/>
      <c r="L4" s="2"/>
      <c r="M4" s="2"/>
      <c r="N4" s="2"/>
      <c r="O4" s="2"/>
      <c r="P4" s="2"/>
      <c r="Q4" s="2"/>
      <c r="R4" s="2"/>
      <c r="S4" s="2"/>
      <c r="T4" s="2"/>
      <c r="U4" s="2"/>
      <c r="V4" s="2"/>
      <c r="W4" s="2"/>
      <c r="X4" s="2"/>
      <c r="Y4" s="2"/>
      <c r="Z4" s="2"/>
      <c r="AA4" s="2"/>
    </row>
    <row r="5" ht="82.5" customHeight="1">
      <c r="A5" s="4" t="s">
        <v>5</v>
      </c>
      <c r="B5" s="5" t="s">
        <v>6</v>
      </c>
      <c r="C5" s="6"/>
      <c r="D5" s="7"/>
      <c r="E5" s="2"/>
      <c r="F5" s="2"/>
      <c r="G5" s="2"/>
      <c r="H5" s="2"/>
      <c r="I5" s="2"/>
      <c r="J5" s="2"/>
      <c r="K5" s="2"/>
      <c r="L5" s="2"/>
      <c r="M5" s="2"/>
      <c r="N5" s="2"/>
      <c r="O5" s="2"/>
      <c r="P5" s="2"/>
      <c r="Q5" s="2"/>
      <c r="R5" s="2"/>
      <c r="S5" s="2"/>
      <c r="T5" s="2"/>
      <c r="U5" s="2"/>
      <c r="V5" s="2"/>
      <c r="W5" s="2"/>
      <c r="X5" s="2"/>
      <c r="Y5" s="2"/>
      <c r="Z5" s="2"/>
      <c r="AA5" s="2"/>
    </row>
    <row r="6" ht="23.25" customHeight="1">
      <c r="A6" s="2"/>
      <c r="B6" s="2"/>
      <c r="C6" s="2"/>
      <c r="D6" s="2"/>
      <c r="E6" s="2"/>
      <c r="F6" s="2"/>
      <c r="G6" s="2"/>
      <c r="H6" s="2"/>
      <c r="I6" s="2"/>
      <c r="J6" s="2"/>
      <c r="K6" s="2"/>
      <c r="L6" s="2"/>
      <c r="M6" s="2"/>
      <c r="N6" s="2"/>
      <c r="O6" s="2"/>
      <c r="P6" s="2"/>
      <c r="Q6" s="2"/>
      <c r="R6" s="2"/>
      <c r="S6" s="2"/>
      <c r="T6" s="2"/>
      <c r="U6" s="2"/>
      <c r="V6" s="2"/>
      <c r="W6" s="2"/>
      <c r="X6" s="2"/>
      <c r="Y6" s="2"/>
      <c r="Z6" s="2"/>
      <c r="AA6" s="2"/>
    </row>
    <row r="7" ht="109.5" customHeight="1">
      <c r="A7" s="4" t="s">
        <v>7</v>
      </c>
      <c r="B7" s="8" t="s">
        <v>8</v>
      </c>
      <c r="C7" s="6"/>
      <c r="D7" s="7"/>
      <c r="E7" s="2"/>
      <c r="F7" s="2"/>
      <c r="G7" s="2"/>
      <c r="H7" s="2"/>
      <c r="I7" s="2"/>
      <c r="J7" s="2"/>
      <c r="K7" s="2"/>
      <c r="L7" s="2"/>
      <c r="M7" s="2"/>
      <c r="N7" s="2"/>
      <c r="O7" s="2"/>
      <c r="P7" s="2"/>
      <c r="Q7" s="2"/>
      <c r="R7" s="2"/>
      <c r="S7" s="2"/>
      <c r="T7" s="2"/>
      <c r="U7" s="2"/>
      <c r="V7" s="2"/>
      <c r="W7" s="2"/>
      <c r="X7" s="2"/>
      <c r="Y7" s="2"/>
      <c r="Z7" s="2"/>
      <c r="AA7" s="2"/>
    </row>
    <row r="8" ht="23.25" customHeight="1">
      <c r="A8" s="2"/>
      <c r="B8" s="2"/>
      <c r="C8" s="2"/>
      <c r="D8" s="2"/>
      <c r="E8" s="2"/>
      <c r="F8" s="2"/>
      <c r="G8" s="2"/>
      <c r="H8" s="2"/>
      <c r="I8" s="2"/>
      <c r="J8" s="2"/>
      <c r="K8" s="2"/>
      <c r="L8" s="2"/>
      <c r="M8" s="2"/>
      <c r="N8" s="2"/>
      <c r="O8" s="2"/>
      <c r="P8" s="2"/>
      <c r="Q8" s="2"/>
      <c r="R8" s="2"/>
      <c r="S8" s="2"/>
      <c r="T8" s="2"/>
      <c r="U8" s="2"/>
      <c r="V8" s="2"/>
      <c r="W8" s="2"/>
      <c r="X8" s="2"/>
      <c r="Y8" s="2"/>
      <c r="Z8" s="2"/>
      <c r="AA8" s="2"/>
    </row>
    <row r="9" ht="23.25" customHeight="1">
      <c r="A9" s="9" t="s">
        <v>9</v>
      </c>
      <c r="C9" s="10"/>
      <c r="D9" s="10"/>
      <c r="E9" s="2"/>
      <c r="F9" s="2"/>
      <c r="G9" s="2"/>
      <c r="H9" s="2"/>
      <c r="I9" s="2"/>
      <c r="J9" s="2"/>
      <c r="K9" s="2"/>
      <c r="L9" s="2"/>
      <c r="M9" s="2"/>
      <c r="N9" s="2"/>
      <c r="O9" s="2"/>
      <c r="P9" s="2"/>
      <c r="Q9" s="2"/>
      <c r="R9" s="2"/>
      <c r="S9" s="2"/>
      <c r="T9" s="2"/>
      <c r="U9" s="2"/>
      <c r="V9" s="2"/>
      <c r="W9" s="2"/>
      <c r="X9" s="2"/>
      <c r="Y9" s="2"/>
      <c r="Z9" s="2"/>
      <c r="AA9" s="2"/>
    </row>
    <row r="10" ht="23.25" customHeight="1">
      <c r="A10" s="11" t="s">
        <v>10</v>
      </c>
      <c r="B10" s="12" t="s">
        <v>11</v>
      </c>
      <c r="C10" s="12" t="s">
        <v>12</v>
      </c>
      <c r="D10" s="13" t="s">
        <v>13</v>
      </c>
      <c r="E10" s="2"/>
      <c r="F10" s="2"/>
      <c r="G10" s="2"/>
      <c r="H10" s="2"/>
      <c r="I10" s="2"/>
      <c r="J10" s="2"/>
      <c r="K10" s="2"/>
      <c r="L10" s="2"/>
      <c r="M10" s="2"/>
      <c r="N10" s="2"/>
      <c r="O10" s="2"/>
      <c r="P10" s="2"/>
      <c r="Q10" s="2"/>
      <c r="R10" s="2"/>
      <c r="S10" s="2"/>
      <c r="T10" s="2"/>
      <c r="U10" s="2"/>
      <c r="V10" s="2"/>
      <c r="W10" s="2"/>
      <c r="X10" s="2"/>
      <c r="Y10" s="2"/>
      <c r="Z10" s="2"/>
      <c r="AA10" s="2"/>
    </row>
    <row r="11" ht="40.5" customHeight="1">
      <c r="A11" s="14" t="s">
        <v>14</v>
      </c>
      <c r="B11" s="15" t="s">
        <v>15</v>
      </c>
      <c r="C11" s="16" t="s">
        <v>16</v>
      </c>
      <c r="D11" s="17" t="str">
        <f>HYPERLINK("https://docs.google.com/spreadsheets/d/1GAkGA2yCuibuuWQvELLVJtgNKRU28hQJsEoFLg1eIPg/edit?usp=drivesdk","Bản gốc")</f>
        <v>Bản gốc</v>
      </c>
      <c r="E11" s="2"/>
      <c r="F11" s="2"/>
      <c r="G11" s="2"/>
      <c r="H11" s="2"/>
      <c r="I11" s="2"/>
      <c r="J11" s="2"/>
      <c r="K11" s="2"/>
      <c r="L11" s="2"/>
      <c r="M11" s="2"/>
      <c r="N11" s="2"/>
      <c r="O11" s="2"/>
      <c r="P11" s="2"/>
      <c r="Q11" s="2"/>
      <c r="R11" s="2"/>
      <c r="S11" s="2"/>
      <c r="T11" s="2"/>
      <c r="U11" s="2"/>
      <c r="V11" s="2"/>
      <c r="W11" s="2"/>
      <c r="X11" s="2"/>
      <c r="Y11" s="2"/>
      <c r="Z11" s="2"/>
      <c r="AA11" s="2"/>
    </row>
    <row r="12" ht="40.5" customHeight="1">
      <c r="A12" s="18" t="s">
        <v>17</v>
      </c>
      <c r="B12" s="19" t="s">
        <v>18</v>
      </c>
      <c r="C12" s="20" t="s">
        <v>19</v>
      </c>
      <c r="D12" s="21" t="s">
        <v>20</v>
      </c>
      <c r="E12" s="2"/>
      <c r="F12" s="2"/>
      <c r="G12" s="2"/>
      <c r="H12" s="2"/>
      <c r="I12" s="2"/>
      <c r="J12" s="2"/>
      <c r="K12" s="2"/>
      <c r="L12" s="2"/>
      <c r="M12" s="2"/>
      <c r="N12" s="2"/>
      <c r="O12" s="2"/>
      <c r="P12" s="2"/>
      <c r="Q12" s="2"/>
      <c r="R12" s="2"/>
      <c r="S12" s="2"/>
      <c r="T12" s="2"/>
      <c r="U12" s="2"/>
      <c r="V12" s="2"/>
      <c r="W12" s="2"/>
      <c r="X12" s="2"/>
      <c r="Y12" s="2"/>
      <c r="Z12" s="2"/>
      <c r="AA12" s="2"/>
    </row>
    <row r="13" ht="23.25" customHeight="1">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ht="23.25" customHeight="1">
      <c r="A14" s="22" t="s">
        <v>21</v>
      </c>
      <c r="E14" s="23"/>
      <c r="F14" s="24"/>
      <c r="G14" s="24"/>
      <c r="H14" s="24"/>
      <c r="I14" s="24"/>
      <c r="J14" s="24"/>
      <c r="K14" s="24"/>
      <c r="L14" s="24"/>
      <c r="M14" s="24"/>
      <c r="N14" s="24"/>
      <c r="O14" s="24"/>
      <c r="P14" s="24"/>
      <c r="Q14" s="24"/>
      <c r="R14" s="24"/>
      <c r="S14" s="24"/>
      <c r="T14" s="24"/>
      <c r="U14" s="24"/>
      <c r="V14" s="24"/>
      <c r="W14" s="24"/>
      <c r="X14" s="24"/>
      <c r="Y14" s="24"/>
      <c r="Z14" s="24"/>
      <c r="AA14" s="2"/>
    </row>
    <row r="15" ht="23.25" customHeight="1">
      <c r="A15" s="25" t="s">
        <v>22</v>
      </c>
      <c r="B15" s="25" t="s">
        <v>23</v>
      </c>
      <c r="C15" s="25" t="s">
        <v>24</v>
      </c>
      <c r="D15" s="25" t="s">
        <v>25</v>
      </c>
      <c r="E15" s="24"/>
      <c r="F15" s="24"/>
      <c r="G15" s="24"/>
      <c r="H15" s="24"/>
      <c r="I15" s="24"/>
      <c r="J15" s="24"/>
      <c r="K15" s="24"/>
      <c r="L15" s="24"/>
      <c r="M15" s="24"/>
      <c r="N15" s="24"/>
      <c r="O15" s="24"/>
      <c r="P15" s="24"/>
      <c r="Q15" s="24"/>
      <c r="R15" s="24"/>
      <c r="S15" s="24"/>
      <c r="T15" s="24"/>
      <c r="U15" s="24"/>
      <c r="V15" s="24"/>
      <c r="W15" s="24"/>
      <c r="X15" s="24"/>
      <c r="Y15" s="24"/>
      <c r="Z15" s="24"/>
      <c r="AA15" s="26"/>
    </row>
    <row r="16" ht="133.5" customHeight="1">
      <c r="A16" s="27" t="s">
        <v>26</v>
      </c>
      <c r="B16" s="27" t="s">
        <v>27</v>
      </c>
      <c r="C16" s="28" t="s">
        <v>28</v>
      </c>
      <c r="D16" s="28" t="s">
        <v>29</v>
      </c>
      <c r="E16" s="24"/>
      <c r="F16" s="24"/>
      <c r="G16" s="24"/>
      <c r="H16" s="24"/>
      <c r="I16" s="24"/>
      <c r="J16" s="24"/>
      <c r="K16" s="24"/>
      <c r="L16" s="24"/>
      <c r="M16" s="24"/>
      <c r="N16" s="24"/>
      <c r="O16" s="24"/>
      <c r="P16" s="24"/>
      <c r="Q16" s="24"/>
      <c r="R16" s="24"/>
      <c r="S16" s="24"/>
      <c r="T16" s="24"/>
      <c r="U16" s="24"/>
      <c r="V16" s="24"/>
      <c r="W16" s="24"/>
      <c r="X16" s="24"/>
      <c r="Y16" s="24"/>
      <c r="Z16" s="24"/>
      <c r="AA16" s="26"/>
    </row>
    <row r="17" ht="148.5" customHeight="1">
      <c r="A17" s="27" t="s">
        <v>30</v>
      </c>
      <c r="B17" s="27" t="s">
        <v>31</v>
      </c>
      <c r="C17" s="28" t="s">
        <v>32</v>
      </c>
      <c r="D17" s="28" t="s">
        <v>33</v>
      </c>
      <c r="E17" s="24"/>
      <c r="F17" s="24"/>
      <c r="G17" s="24"/>
      <c r="H17" s="24"/>
      <c r="I17" s="24"/>
      <c r="J17" s="24"/>
      <c r="K17" s="24"/>
      <c r="L17" s="24"/>
      <c r="M17" s="24"/>
      <c r="N17" s="24"/>
      <c r="O17" s="24"/>
      <c r="P17" s="24"/>
      <c r="Q17" s="24"/>
      <c r="R17" s="24"/>
      <c r="S17" s="24"/>
      <c r="T17" s="24"/>
      <c r="U17" s="24"/>
      <c r="V17" s="24"/>
      <c r="W17" s="24"/>
      <c r="X17" s="24"/>
      <c r="Y17" s="24"/>
      <c r="Z17" s="24"/>
      <c r="AA17" s="26"/>
    </row>
    <row r="18" ht="126.0" customHeight="1">
      <c r="A18" s="27" t="s">
        <v>34</v>
      </c>
      <c r="B18" s="27" t="s">
        <v>35</v>
      </c>
      <c r="C18" s="28" t="s">
        <v>36</v>
      </c>
      <c r="D18" s="28" t="s">
        <v>37</v>
      </c>
      <c r="E18" s="24"/>
      <c r="F18" s="24"/>
      <c r="G18" s="24"/>
      <c r="H18" s="24"/>
      <c r="I18" s="24"/>
      <c r="J18" s="24"/>
      <c r="K18" s="24"/>
      <c r="L18" s="24"/>
      <c r="M18" s="24"/>
      <c r="N18" s="24"/>
      <c r="O18" s="24"/>
      <c r="P18" s="24"/>
      <c r="Q18" s="24"/>
      <c r="R18" s="24"/>
      <c r="S18" s="24"/>
      <c r="T18" s="24"/>
      <c r="U18" s="24"/>
      <c r="V18" s="24"/>
      <c r="W18" s="24"/>
      <c r="X18" s="24"/>
      <c r="Y18" s="24"/>
      <c r="Z18" s="24"/>
      <c r="AA18" s="26"/>
    </row>
    <row r="19" ht="129.75" customHeight="1">
      <c r="A19" s="27" t="s">
        <v>38</v>
      </c>
      <c r="B19" s="27" t="s">
        <v>39</v>
      </c>
      <c r="C19" s="28" t="s">
        <v>40</v>
      </c>
      <c r="D19" s="28" t="s">
        <v>41</v>
      </c>
      <c r="E19" s="24"/>
      <c r="F19" s="24"/>
      <c r="G19" s="24"/>
      <c r="H19" s="24"/>
      <c r="I19" s="24"/>
      <c r="J19" s="24"/>
      <c r="K19" s="24"/>
      <c r="L19" s="24"/>
      <c r="M19" s="24"/>
      <c r="N19" s="24"/>
      <c r="O19" s="24"/>
      <c r="P19" s="24"/>
      <c r="Q19" s="24"/>
      <c r="R19" s="24"/>
      <c r="S19" s="24"/>
      <c r="T19" s="24"/>
      <c r="U19" s="24"/>
      <c r="V19" s="24"/>
      <c r="W19" s="24"/>
      <c r="X19" s="24"/>
      <c r="Y19" s="24"/>
      <c r="Z19" s="24"/>
      <c r="AA19" s="26"/>
    </row>
    <row r="20" ht="121.5" customHeight="1">
      <c r="A20" s="27" t="s">
        <v>42</v>
      </c>
      <c r="B20" s="27" t="s">
        <v>43</v>
      </c>
      <c r="C20" s="28" t="s">
        <v>44</v>
      </c>
      <c r="D20" s="28" t="s">
        <v>45</v>
      </c>
      <c r="E20" s="2"/>
      <c r="F20" s="2"/>
      <c r="G20" s="2"/>
      <c r="H20" s="2"/>
      <c r="I20" s="2"/>
      <c r="J20" s="2"/>
      <c r="K20" s="2"/>
      <c r="L20" s="2"/>
      <c r="M20" s="2"/>
      <c r="N20" s="2"/>
      <c r="O20" s="2"/>
      <c r="P20" s="2"/>
      <c r="Q20" s="2"/>
      <c r="R20" s="2"/>
      <c r="S20" s="2"/>
      <c r="T20" s="2"/>
      <c r="U20" s="2"/>
      <c r="V20" s="2"/>
      <c r="W20" s="2"/>
      <c r="X20" s="2"/>
      <c r="Y20" s="2"/>
      <c r="Z20" s="2"/>
      <c r="AA20" s="26"/>
    </row>
    <row r="21" ht="23.2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ht="23.25" customHeight="1">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ht="23.25"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ht="23.25"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ht="23.2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ht="23.25"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ht="23.2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ht="23.2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ht="23.2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ht="23.2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ht="23.2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ht="23.2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23.2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23.2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23.2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ht="15.7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ht="15.7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ht="15.7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ht="15.75"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ht="15.7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ht="15.7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ht="15.7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ht="15.7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ht="15.7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ht="15.7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ht="15.7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ht="15.7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ht="15.7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ht="15.7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ht="15.7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ht="15.7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ht="15.7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ht="15.7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ht="15.7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ht="15.7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ht="15.7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ht="15.7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ht="15.7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ht="15.7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ht="15.7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ht="15.7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ht="15.7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ht="15.7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ht="15.7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ht="15.7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ht="15.7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ht="15.7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ht="15.7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ht="15.7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ht="15.7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ht="15.7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ht="15.7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ht="15.7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ht="15.7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ht="15.7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ht="15.7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ht="15.7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ht="15.7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ht="15.7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ht="15.7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ht="15.7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ht="15.7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ht="15.7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ht="15.7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ht="15.7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ht="15.7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ht="15.7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ht="15.7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ht="15.7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ht="15.7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ht="15.7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ht="15.7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ht="15.7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ht="15.7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ht="15.7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ht="15.7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ht="15.7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ht="15.7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ht="15.7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ht="15.7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ht="15.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ht="15.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ht="15.7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ht="15.7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ht="15.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ht="15.7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ht="15.7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ht="15.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ht="15.7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ht="15.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ht="15.7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ht="15.7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ht="15.7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ht="15.7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ht="15.7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ht="15.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ht="15.7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ht="15.7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ht="15.7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ht="15.7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ht="15.7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ht="15.7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ht="15.7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ht="15.7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ht="15.7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ht="15.7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ht="15.7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ht="15.7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ht="15.7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ht="15.7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ht="15.7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ht="15.7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ht="15.7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ht="15.7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ht="15.7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ht="15.7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ht="15.7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ht="15.7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ht="15.7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ht="15.7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ht="15.7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ht="15.7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ht="15.7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ht="15.7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ht="15.7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ht="15.7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ht="15.7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ht="15.7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ht="15.7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ht="15.7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ht="15.7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ht="15.7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ht="15.7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ht="15.7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ht="15.7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ht="15.7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ht="15.7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ht="15.7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ht="15.7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ht="15.7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ht="15.7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ht="15.7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ht="15.7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ht="15.7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ht="15.7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ht="15.7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ht="15.7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ht="15.7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ht="15.7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ht="15.7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ht="15.7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ht="15.7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ht="15.7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ht="15.7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ht="15.7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ht="15.7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ht="15.7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ht="15.7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ht="15.7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ht="15.7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ht="15.7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ht="15.7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ht="15.7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ht="15.7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ht="15.7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ht="15.7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ht="15.7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ht="15.7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ht="15.7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ht="15.7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ht="15.7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ht="15.7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ht="15.7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ht="15.7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ht="15.7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ht="15.7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ht="15.7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ht="15.7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ht="15.7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ht="15.7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ht="15.7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ht="15.7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ht="15.7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ht="15.7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ht="15.7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ht="15.7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ht="15.7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ht="15.7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ht="15.7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ht="15.7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ht="15.7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ht="15.7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ht="15.7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ht="15.7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ht="15.7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ht="15.7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ht="15.7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ht="15.7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ht="15.7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ht="15.7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ht="15.7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ht="15.7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ht="15.7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ht="15.7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ht="15.7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ht="15.7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ht="15.7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ht="15.7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ht="15.7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ht="15.7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ht="15.7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ht="15.7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ht="15.7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ht="15.7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ht="15.7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ht="15.7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ht="15.7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ht="15.7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ht="15.7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ht="15.7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ht="15.7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ht="15.7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ht="15.7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ht="15.7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ht="15.7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ht="15.7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ht="15.7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ht="15.7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ht="15.7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ht="15.7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ht="15.7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ht="15.7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ht="15.7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ht="15.7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ht="15.7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ht="15.7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ht="15.7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ht="15.7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ht="15.7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ht="15.7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ht="15.7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ht="15.7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ht="15.7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ht="15.7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ht="15.7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ht="15.7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ht="15.7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ht="15.7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ht="15.7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ht="15.7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ht="15.7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ht="15.7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ht="15.7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ht="15.7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ht="15.7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ht="15.7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ht="15.7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ht="15.7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ht="15.7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ht="15.7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ht="15.7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ht="15.7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ht="15.7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ht="15.7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ht="15.7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ht="15.7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ht="15.7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ht="15.7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ht="15.7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ht="15.7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ht="15.7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ht="15.7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ht="15.7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ht="15.7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ht="15.7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ht="15.7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ht="15.7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ht="15.7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ht="15.7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ht="15.7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ht="15.7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ht="15.7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ht="15.7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ht="15.7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ht="15.7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ht="15.7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ht="15.7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ht="15.7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ht="15.7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ht="15.7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ht="15.7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ht="15.7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ht="15.7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ht="15.7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ht="15.7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ht="15.7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ht="15.7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ht="15.7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ht="15.7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ht="15.7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ht="15.7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ht="15.7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ht="15.7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ht="15.7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ht="15.7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ht="15.7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ht="15.7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ht="15.7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ht="15.7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ht="15.7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ht="15.7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ht="15.7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ht="15.7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ht="15.7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ht="15.7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ht="15.7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ht="15.7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ht="15.7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ht="15.7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ht="15.7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ht="15.7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ht="15.7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ht="15.7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ht="15.7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ht="15.7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ht="15.7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ht="15.7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ht="15.7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ht="15.7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ht="15.7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ht="15.7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ht="15.7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ht="15.7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ht="15.7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ht="15.7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ht="15.7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ht="15.7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ht="15.7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ht="15.7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ht="15.7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ht="15.7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ht="15.7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ht="15.7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ht="15.7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ht="15.7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ht="15.7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ht="15.7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ht="15.7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ht="15.7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ht="15.7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ht="15.7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ht="15.7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ht="15.7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ht="15.7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ht="15.7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ht="15.7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ht="15.7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ht="15.7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ht="15.7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ht="15.7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ht="15.7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ht="15.7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ht="15.7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ht="15.7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ht="15.7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ht="15.7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ht="15.7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ht="15.7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ht="15.7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ht="15.7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ht="15.7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ht="15.7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ht="15.7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ht="15.7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ht="15.7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ht="15.7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ht="15.7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ht="15.7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ht="15.7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ht="15.7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ht="15.7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ht="15.7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ht="15.7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ht="15.7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ht="15.7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ht="15.7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ht="15.7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ht="15.7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ht="15.7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ht="15.7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ht="15.7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ht="15.7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ht="15.7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ht="15.7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ht="15.7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ht="15.7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ht="15.7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ht="15.7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ht="15.7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ht="15.7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ht="15.7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ht="15.7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ht="15.7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ht="15.7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ht="15.7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ht="15.7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ht="15.7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ht="15.7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ht="15.7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ht="15.7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ht="15.7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ht="15.7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ht="15.7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ht="15.7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ht="15.7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ht="15.7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ht="15.7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ht="15.7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ht="15.7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ht="15.7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ht="15.7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ht="15.7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ht="15.7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ht="15.7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ht="15.7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ht="15.7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ht="15.7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ht="15.7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ht="15.7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ht="15.7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ht="15.7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ht="15.7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ht="15.7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ht="15.7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ht="15.7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ht="15.7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ht="15.7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ht="15.7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ht="15.7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ht="15.7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ht="15.7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ht="15.7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ht="15.7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ht="15.7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ht="15.7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ht="15.7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ht="15.7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ht="15.7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ht="15.7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ht="15.7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ht="15.7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ht="15.7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ht="15.7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ht="15.7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ht="15.7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ht="15.7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ht="15.7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ht="15.7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ht="15.7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ht="15.7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ht="15.7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ht="15.7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ht="15.7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ht="15.7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ht="15.7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ht="15.7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ht="15.7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ht="15.7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ht="15.7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ht="15.7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ht="15.7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ht="15.7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ht="15.7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ht="15.7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ht="15.7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ht="15.7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ht="15.7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ht="15.7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ht="15.7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ht="15.7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ht="15.7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ht="15.7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ht="15.7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ht="15.7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ht="15.7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ht="15.7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ht="15.7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ht="15.7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ht="15.7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ht="15.7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ht="15.7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ht="15.7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ht="15.7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ht="15.7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ht="15.7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ht="15.7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ht="15.7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ht="15.7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ht="15.7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ht="15.7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ht="15.7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ht="15.7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ht="15.7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ht="15.7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ht="15.7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ht="15.7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ht="15.7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ht="15.7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ht="15.7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ht="15.7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ht="15.7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ht="15.7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ht="15.7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ht="15.7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ht="15.7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ht="15.7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ht="15.7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ht="15.7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ht="15.7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ht="15.7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ht="15.7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ht="15.7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ht="15.7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ht="15.7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ht="15.7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ht="15.7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ht="15.7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ht="15.7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ht="15.7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ht="15.7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ht="15.7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ht="15.7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ht="15.7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ht="15.7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ht="15.7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ht="15.7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ht="15.7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ht="15.7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ht="15.7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ht="15.7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ht="15.7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ht="15.7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ht="15.7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ht="15.7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ht="15.7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ht="15.7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ht="15.7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ht="15.7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ht="15.7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ht="15.7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ht="15.7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ht="15.7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ht="15.7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ht="15.7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ht="15.7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ht="15.7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ht="15.7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ht="15.7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ht="15.7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ht="15.7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ht="15.7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ht="15.7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ht="15.7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ht="15.7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ht="15.7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ht="15.7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ht="15.7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ht="15.7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ht="15.7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ht="15.7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ht="15.7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ht="15.7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ht="15.7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ht="15.7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ht="15.7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ht="15.7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ht="15.7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ht="15.7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ht="15.7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ht="15.7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ht="15.7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ht="15.7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ht="15.7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ht="15.7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ht="15.7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ht="15.7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ht="15.7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ht="15.7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ht="15.7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ht="15.7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ht="15.7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ht="15.7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ht="15.7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ht="15.7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ht="15.7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ht="15.7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ht="15.7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ht="15.7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ht="15.7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ht="15.7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ht="15.7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ht="15.7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ht="15.7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ht="15.7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ht="15.7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ht="15.7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ht="15.7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ht="15.7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ht="15.7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ht="15.7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ht="15.7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ht="15.7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ht="15.7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ht="15.7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ht="15.7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ht="15.7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ht="15.7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ht="15.7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ht="15.7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ht="15.7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ht="15.7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ht="15.7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ht="15.7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ht="15.7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ht="15.7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ht="15.7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ht="15.7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ht="15.7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ht="15.7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ht="15.7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ht="15.7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ht="15.7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ht="15.7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ht="15.7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ht="15.7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ht="15.7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ht="15.7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ht="15.7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ht="15.7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ht="15.7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ht="15.7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ht="15.7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ht="15.7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ht="15.7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ht="15.7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ht="15.7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ht="15.7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ht="15.7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ht="15.7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ht="15.7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ht="15.7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ht="15.7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ht="15.7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ht="15.7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ht="15.7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ht="15.7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ht="15.7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ht="15.7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ht="15.7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ht="15.7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ht="15.7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ht="15.7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ht="15.7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ht="15.7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ht="15.7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ht="15.7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ht="15.7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ht="15.7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ht="15.7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ht="15.7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ht="15.7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ht="15.7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ht="15.7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ht="15.7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ht="15.7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ht="15.7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ht="15.7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ht="15.7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ht="15.7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ht="15.7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ht="15.7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ht="15.7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ht="15.7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ht="15.7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ht="15.7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ht="15.7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ht="15.7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ht="15.7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ht="15.7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ht="15.7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ht="15.7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ht="15.7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ht="15.7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ht="15.7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ht="15.7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ht="15.7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ht="15.7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ht="15.7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ht="15.7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ht="15.7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ht="15.7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ht="15.7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ht="15.7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ht="15.7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ht="15.7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ht="15.7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ht="15.7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ht="15.7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ht="15.7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ht="15.7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ht="15.7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ht="15.7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ht="15.7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ht="15.7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ht="15.7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ht="15.7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row r="999" ht="15.7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row>
    <row r="1000" ht="15.7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row>
  </sheetData>
  <mergeCells count="5">
    <mergeCell ref="A1:D1"/>
    <mergeCell ref="B5:D5"/>
    <mergeCell ref="B7:D7"/>
    <mergeCell ref="A9:B9"/>
    <mergeCell ref="A14:D14"/>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29"/>
    <col customWidth="1" min="2" max="2" width="32.29"/>
    <col customWidth="1" min="3" max="4" width="22.29"/>
    <col customWidth="1" min="5" max="5" width="78.71"/>
    <col customWidth="1" min="6" max="6" width="14.0"/>
    <col customWidth="1" min="7" max="26" width="8.71"/>
  </cols>
  <sheetData>
    <row r="1" ht="31.5" customHeight="1">
      <c r="A1" s="29" t="s">
        <v>46</v>
      </c>
    </row>
    <row r="2" ht="25.5" customHeight="1">
      <c r="A2" s="30" t="s">
        <v>47</v>
      </c>
      <c r="B2" s="31" t="s">
        <v>48</v>
      </c>
      <c r="C2" s="31" t="s">
        <v>49</v>
      </c>
      <c r="D2" s="31" t="s">
        <v>50</v>
      </c>
      <c r="E2" s="32" t="s">
        <v>51</v>
      </c>
    </row>
    <row r="3" ht="30.0" customHeight="1">
      <c r="A3" s="33">
        <v>1.0</v>
      </c>
      <c r="B3" s="34" t="s">
        <v>52</v>
      </c>
      <c r="C3" s="35" t="s">
        <v>53</v>
      </c>
      <c r="D3" s="36"/>
      <c r="E3" s="37" t="s">
        <v>54</v>
      </c>
    </row>
    <row r="4" ht="30.0" customHeight="1">
      <c r="A4" s="33">
        <v>2.0</v>
      </c>
      <c r="B4" s="34" t="s">
        <v>55</v>
      </c>
      <c r="C4" s="35" t="s">
        <v>56</v>
      </c>
      <c r="D4" s="36"/>
      <c r="E4" s="37" t="s">
        <v>57</v>
      </c>
    </row>
    <row r="5" ht="30.0" customHeight="1">
      <c r="A5" s="33">
        <v>3.0</v>
      </c>
      <c r="B5" s="34" t="s">
        <v>58</v>
      </c>
      <c r="C5" s="35" t="s">
        <v>56</v>
      </c>
      <c r="D5" s="36"/>
      <c r="E5" s="37" t="s">
        <v>59</v>
      </c>
    </row>
    <row r="6" ht="30.0" customHeight="1">
      <c r="A6" s="33">
        <v>4.0</v>
      </c>
      <c r="B6" s="34" t="s">
        <v>60</v>
      </c>
      <c r="C6" s="36"/>
      <c r="D6" s="36"/>
      <c r="E6" s="37" t="s">
        <v>61</v>
      </c>
    </row>
    <row r="7" ht="34.5" customHeight="1">
      <c r="A7" s="33">
        <v>5.0</v>
      </c>
      <c r="B7" s="34" t="s">
        <v>62</v>
      </c>
      <c r="C7" s="35" t="s">
        <v>63</v>
      </c>
      <c r="D7" s="35" t="s">
        <v>64</v>
      </c>
      <c r="E7" s="37" t="s">
        <v>65</v>
      </c>
    </row>
    <row r="8" ht="30.0" customHeight="1">
      <c r="A8" s="33">
        <v>6.0</v>
      </c>
      <c r="B8" s="34" t="s">
        <v>66</v>
      </c>
      <c r="C8" s="35" t="s">
        <v>63</v>
      </c>
      <c r="D8" s="35" t="s">
        <v>64</v>
      </c>
      <c r="E8" s="37" t="s">
        <v>67</v>
      </c>
    </row>
    <row r="9" ht="30.0" customHeight="1">
      <c r="A9" s="33">
        <v>7.0</v>
      </c>
      <c r="B9" s="34" t="s">
        <v>68</v>
      </c>
      <c r="C9" s="35" t="s">
        <v>63</v>
      </c>
      <c r="D9" s="36"/>
      <c r="E9" s="37" t="s">
        <v>69</v>
      </c>
    </row>
    <row r="10" ht="30.0" customHeight="1">
      <c r="A10" s="33">
        <v>8.0</v>
      </c>
      <c r="B10" s="34" t="s">
        <v>70</v>
      </c>
      <c r="C10" s="35" t="s">
        <v>56</v>
      </c>
      <c r="D10" s="36"/>
      <c r="E10" s="37" t="s">
        <v>71</v>
      </c>
    </row>
    <row r="11" ht="30.0" customHeight="1">
      <c r="A11" s="33">
        <v>9.0</v>
      </c>
      <c r="B11" s="34" t="s">
        <v>72</v>
      </c>
      <c r="C11" s="35" t="s">
        <v>56</v>
      </c>
      <c r="D11" s="36"/>
      <c r="E11" s="37" t="s">
        <v>73</v>
      </c>
    </row>
    <row r="12" ht="30.0" customHeight="1">
      <c r="A12" s="33">
        <v>10.0</v>
      </c>
      <c r="B12" s="34" t="s">
        <v>74</v>
      </c>
      <c r="C12" s="35" t="s">
        <v>63</v>
      </c>
      <c r="D12" s="36"/>
      <c r="E12" s="37" t="s">
        <v>75</v>
      </c>
    </row>
    <row r="13" ht="30.0" customHeight="1">
      <c r="A13" s="33">
        <v>11.0</v>
      </c>
      <c r="B13" s="34" t="s">
        <v>76</v>
      </c>
      <c r="C13" s="35" t="s">
        <v>77</v>
      </c>
      <c r="D13" s="36"/>
      <c r="E13" s="37" t="s">
        <v>78</v>
      </c>
    </row>
    <row r="14" ht="34.5" customHeight="1">
      <c r="A14" s="33">
        <v>12.0</v>
      </c>
      <c r="B14" s="34" t="s">
        <v>79</v>
      </c>
      <c r="C14" s="35" t="s">
        <v>80</v>
      </c>
      <c r="D14" s="35" t="s">
        <v>81</v>
      </c>
      <c r="E14" s="37" t="s">
        <v>82</v>
      </c>
    </row>
    <row r="15" ht="34.5" customHeight="1">
      <c r="A15" s="33">
        <v>13.0</v>
      </c>
      <c r="B15" s="34" t="s">
        <v>83</v>
      </c>
      <c r="C15" s="35" t="s">
        <v>63</v>
      </c>
      <c r="D15" s="35" t="s">
        <v>77</v>
      </c>
      <c r="E15" s="37" t="s">
        <v>84</v>
      </c>
    </row>
    <row r="16" ht="27.0" customHeight="1">
      <c r="A16" s="38" t="s">
        <v>85</v>
      </c>
      <c r="B16" s="39"/>
      <c r="C16" s="39"/>
      <c r="D16" s="39"/>
      <c r="E16" s="40"/>
    </row>
    <row r="17" ht="25.5" customHeight="1">
      <c r="A17" s="41" t="s">
        <v>47</v>
      </c>
      <c r="B17" s="42" t="s">
        <v>48</v>
      </c>
      <c r="C17" s="42" t="s">
        <v>49</v>
      </c>
      <c r="D17" s="42" t="s">
        <v>50</v>
      </c>
      <c r="E17" s="43" t="s">
        <v>51</v>
      </c>
    </row>
    <row r="18" ht="34.5" customHeight="1">
      <c r="A18" s="33">
        <v>1.0</v>
      </c>
      <c r="B18" s="34" t="s">
        <v>86</v>
      </c>
      <c r="C18" s="36" t="s">
        <v>87</v>
      </c>
      <c r="D18" s="36"/>
      <c r="E18" s="37" t="s">
        <v>88</v>
      </c>
    </row>
    <row r="19" ht="34.5" customHeight="1">
      <c r="A19" s="33">
        <v>2.0</v>
      </c>
      <c r="B19" s="34" t="s">
        <v>89</v>
      </c>
      <c r="C19" s="35" t="s">
        <v>63</v>
      </c>
      <c r="D19" s="36"/>
      <c r="E19" s="37" t="s">
        <v>90</v>
      </c>
    </row>
    <row r="20" ht="30.0" customHeight="1">
      <c r="A20" s="33">
        <v>3.0</v>
      </c>
      <c r="B20" s="34" t="s">
        <v>91</v>
      </c>
      <c r="C20" s="35" t="s">
        <v>92</v>
      </c>
      <c r="D20" s="35" t="s">
        <v>64</v>
      </c>
      <c r="E20" s="37" t="s">
        <v>93</v>
      </c>
    </row>
    <row r="21" ht="30.0" customHeight="1">
      <c r="A21" s="33">
        <v>4.0</v>
      </c>
      <c r="B21" s="34" t="s">
        <v>94</v>
      </c>
      <c r="C21" s="35" t="s">
        <v>95</v>
      </c>
      <c r="D21" s="35" t="s">
        <v>81</v>
      </c>
      <c r="E21" s="37" t="s">
        <v>96</v>
      </c>
    </row>
    <row r="22" ht="34.5" customHeight="1">
      <c r="A22" s="33">
        <v>5.0</v>
      </c>
      <c r="B22" s="34" t="s">
        <v>97</v>
      </c>
      <c r="C22" s="35" t="s">
        <v>80</v>
      </c>
      <c r="D22" s="35" t="s">
        <v>98</v>
      </c>
      <c r="E22" s="37" t="s">
        <v>99</v>
      </c>
    </row>
    <row r="23" ht="34.5" customHeight="1">
      <c r="A23" s="44">
        <v>6.0</v>
      </c>
      <c r="B23" s="45" t="s">
        <v>100</v>
      </c>
      <c r="C23" s="46" t="s">
        <v>77</v>
      </c>
      <c r="D23" s="47"/>
      <c r="E23" s="48" t="s">
        <v>101</v>
      </c>
    </row>
    <row r="24" ht="15.75" customHeight="1"/>
    <row r="25" ht="19.5" customHeight="1"/>
    <row r="26" ht="30.0"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30.0"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6:E16"/>
  </mergeCells>
  <hyperlinks>
    <hyperlink display="OVERVIEW" location="OVERVIEW!A1" ref="C3"/>
    <hyperlink display="PROCESSING" location="PROCESSING!A1" ref="C4"/>
    <hyperlink display="PROCESSING" location="PROCESSING!A1" ref="C5"/>
    <hyperlink display="CORE LOOP" location="'CORE LOOP'!A1" ref="C7"/>
    <hyperlink display="ITEM LIST" location="'ITEM LIST'!A1" ref="D7"/>
    <hyperlink display="CORE LOOP" location="'CORE LOOP'!A1" ref="C8"/>
    <hyperlink display="ITEM LIST" location="'ITEM LIST'!A1" ref="D8"/>
    <hyperlink display="CORE LOOP" location="'CORE LOOP'!A1" ref="C9"/>
    <hyperlink display="PROCESSING" location="PROCESSING!A1" ref="C10"/>
    <hyperlink display="PROCESSING" location="PROCESSING!A1" ref="C11"/>
    <hyperlink display="CORE LOOP" location="'CORE LOOP'!A1" ref="C12"/>
    <hyperlink display="Assets" location="Assets!A1" ref="C13"/>
    <hyperlink display="Weapons" location="Weapons!A1" ref="C14"/>
    <hyperlink display="MAP DESIGN" location="'MAP DESIGN'!A1" ref="D14"/>
    <hyperlink display="CORE LOOP" location="'CORE LOOP'!A1" ref="C15"/>
    <hyperlink display="Assets" location="Assets!A1" ref="D15"/>
    <hyperlink display="CORE LOOP" location="'CORE LOOP'!A1" ref="C19"/>
    <hyperlink display="ECONOMIC" location="ECONOMIC!A1" ref="C20"/>
    <hyperlink display="ITEM LIST" location="'ITEM LIST'!A1" ref="D20"/>
    <hyperlink display="Hero" location="Hero!A1" ref="C21"/>
    <hyperlink display="MAP DESIGN" location="'MAP DESIGN'!A1" ref="D21"/>
    <hyperlink display="Weapons" location="Weapons!A1" ref="C22"/>
    <hyperlink display="Obstacles" location="Obstacles!A1" ref="D22"/>
    <hyperlink display="Assets" location="Assets!A1" ref="C23"/>
  </hyperlink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9.57"/>
    <col customWidth="1" min="2" max="2" width="14.57"/>
    <col customWidth="1" min="3" max="3" width="13.0"/>
    <col customWidth="1" min="4" max="4" width="14.29"/>
    <col customWidth="1" min="5" max="5" width="23.29"/>
    <col customWidth="1" min="6" max="6" width="53.71"/>
    <col customWidth="1" min="7" max="7" width="41.29"/>
    <col customWidth="1" min="8" max="8" width="17.29"/>
    <col customWidth="1" min="9" max="9" width="12.29"/>
    <col customWidth="1" min="10" max="10" width="18.86"/>
    <col customWidth="1" min="11" max="11" width="26.57"/>
    <col customWidth="1" min="12" max="12" width="18.71"/>
    <col customWidth="1" min="13" max="26" width="8.71"/>
  </cols>
  <sheetData>
    <row r="1" ht="34.5" customHeight="1">
      <c r="A1" s="49" t="s">
        <v>102</v>
      </c>
      <c r="B1" s="50"/>
      <c r="C1" s="50"/>
      <c r="D1" s="50"/>
      <c r="E1" s="50"/>
      <c r="F1" s="50"/>
      <c r="G1" s="50"/>
      <c r="H1" s="50"/>
      <c r="I1" s="50"/>
      <c r="J1" s="50"/>
      <c r="K1" s="50"/>
      <c r="L1" s="51"/>
    </row>
    <row r="2" ht="66.0" customHeight="1">
      <c r="A2" s="52" t="s">
        <v>103</v>
      </c>
      <c r="B2" s="52" t="s">
        <v>104</v>
      </c>
      <c r="C2" s="52" t="s">
        <v>105</v>
      </c>
      <c r="D2" s="52" t="s">
        <v>106</v>
      </c>
      <c r="E2" s="52" t="s">
        <v>107</v>
      </c>
      <c r="F2" s="52" t="s">
        <v>108</v>
      </c>
      <c r="G2" s="52" t="s">
        <v>109</v>
      </c>
      <c r="H2" s="52" t="s">
        <v>110</v>
      </c>
      <c r="I2" s="52" t="s">
        <v>111</v>
      </c>
      <c r="J2" s="52" t="s">
        <v>112</v>
      </c>
      <c r="K2" s="52" t="s">
        <v>113</v>
      </c>
      <c r="L2" s="52" t="s">
        <v>114</v>
      </c>
    </row>
    <row r="3">
      <c r="A3" s="53" t="s">
        <v>115</v>
      </c>
      <c r="B3" s="54" t="s">
        <v>116</v>
      </c>
      <c r="C3" s="55">
        <v>46312.0</v>
      </c>
      <c r="D3" s="56" t="s">
        <v>117</v>
      </c>
      <c r="E3" s="57" t="s">
        <v>118</v>
      </c>
      <c r="F3" s="56" t="s">
        <v>119</v>
      </c>
      <c r="G3" s="56" t="s">
        <v>120</v>
      </c>
      <c r="H3" s="58" t="s">
        <v>121</v>
      </c>
      <c r="I3" s="53" t="s">
        <v>122</v>
      </c>
      <c r="J3" s="58" t="s">
        <v>123</v>
      </c>
      <c r="K3" s="59" t="s">
        <v>124</v>
      </c>
      <c r="L3" s="60" t="s">
        <v>125</v>
      </c>
    </row>
    <row r="4">
      <c r="A4" s="53" t="s">
        <v>126</v>
      </c>
      <c r="B4" s="54" t="s">
        <v>116</v>
      </c>
      <c r="C4" s="55">
        <v>46312.0</v>
      </c>
      <c r="D4" s="56" t="s">
        <v>127</v>
      </c>
      <c r="E4" s="57" t="s">
        <v>128</v>
      </c>
      <c r="F4" s="56" t="s">
        <v>129</v>
      </c>
      <c r="G4" s="56" t="s">
        <v>130</v>
      </c>
      <c r="H4" s="58" t="s">
        <v>115</v>
      </c>
      <c r="I4" s="53" t="s">
        <v>122</v>
      </c>
      <c r="J4" s="58" t="s">
        <v>123</v>
      </c>
      <c r="K4" s="59" t="s">
        <v>124</v>
      </c>
      <c r="L4" s="60" t="s">
        <v>131</v>
      </c>
    </row>
    <row r="5">
      <c r="A5" s="53" t="s">
        <v>132</v>
      </c>
      <c r="B5" s="54" t="s">
        <v>116</v>
      </c>
      <c r="C5" s="55">
        <v>46312.0</v>
      </c>
      <c r="D5" s="56" t="s">
        <v>133</v>
      </c>
      <c r="E5" s="57" t="s">
        <v>134</v>
      </c>
      <c r="F5" s="56" t="s">
        <v>135</v>
      </c>
      <c r="G5" s="56" t="s">
        <v>136</v>
      </c>
      <c r="H5" s="58" t="s">
        <v>115</v>
      </c>
      <c r="I5" s="53" t="s">
        <v>122</v>
      </c>
      <c r="J5" s="58" t="s">
        <v>123</v>
      </c>
      <c r="K5" s="59" t="s">
        <v>124</v>
      </c>
      <c r="L5" s="60" t="s">
        <v>137</v>
      </c>
    </row>
    <row r="6">
      <c r="A6" s="53" t="s">
        <v>138</v>
      </c>
      <c r="B6" s="54" t="s">
        <v>116</v>
      </c>
      <c r="C6" s="55">
        <v>46312.0</v>
      </c>
      <c r="D6" s="56" t="s">
        <v>133</v>
      </c>
      <c r="E6" s="57" t="s">
        <v>139</v>
      </c>
      <c r="F6" s="56" t="s">
        <v>140</v>
      </c>
      <c r="G6" s="56" t="s">
        <v>141</v>
      </c>
      <c r="H6" s="58" t="s">
        <v>142</v>
      </c>
      <c r="I6" s="53" t="s">
        <v>122</v>
      </c>
      <c r="J6" s="58" t="s">
        <v>123</v>
      </c>
      <c r="K6" s="59" t="s">
        <v>124</v>
      </c>
      <c r="L6" s="60" t="s">
        <v>143</v>
      </c>
    </row>
    <row r="7">
      <c r="A7" s="53" t="s">
        <v>144</v>
      </c>
      <c r="B7" s="54" t="s">
        <v>116</v>
      </c>
      <c r="C7" s="55">
        <v>46312.0</v>
      </c>
      <c r="D7" s="56" t="s">
        <v>145</v>
      </c>
      <c r="E7" s="57" t="s">
        <v>146</v>
      </c>
      <c r="F7" s="56" t="s">
        <v>147</v>
      </c>
      <c r="G7" s="56" t="s">
        <v>148</v>
      </c>
      <c r="H7" s="58" t="s">
        <v>132</v>
      </c>
      <c r="I7" s="53" t="s">
        <v>122</v>
      </c>
      <c r="J7" s="58" t="s">
        <v>123</v>
      </c>
      <c r="K7" s="59" t="s">
        <v>149</v>
      </c>
      <c r="L7" s="60" t="s">
        <v>150</v>
      </c>
    </row>
    <row r="8">
      <c r="A8" s="53" t="s">
        <v>151</v>
      </c>
      <c r="B8" s="54" t="s">
        <v>116</v>
      </c>
      <c r="C8" s="55">
        <v>46312.0</v>
      </c>
      <c r="D8" s="58" t="s">
        <v>145</v>
      </c>
      <c r="E8" s="61" t="s">
        <v>152</v>
      </c>
      <c r="F8" s="58" t="s">
        <v>153</v>
      </c>
      <c r="G8" s="58" t="s">
        <v>154</v>
      </c>
      <c r="H8" s="58" t="s">
        <v>121</v>
      </c>
      <c r="I8" s="53" t="s">
        <v>122</v>
      </c>
      <c r="J8" s="58" t="s">
        <v>123</v>
      </c>
      <c r="K8" s="59" t="s">
        <v>149</v>
      </c>
      <c r="L8" s="60" t="s">
        <v>155</v>
      </c>
    </row>
    <row r="9">
      <c r="A9" s="53" t="s">
        <v>156</v>
      </c>
      <c r="B9" s="54" t="s">
        <v>116</v>
      </c>
      <c r="C9" s="55">
        <v>46312.0</v>
      </c>
      <c r="D9" s="58" t="s">
        <v>145</v>
      </c>
      <c r="E9" s="61" t="s">
        <v>157</v>
      </c>
      <c r="F9" s="58" t="s">
        <v>158</v>
      </c>
      <c r="G9" s="58" t="s">
        <v>159</v>
      </c>
      <c r="H9" s="58" t="s">
        <v>121</v>
      </c>
      <c r="I9" s="53" t="s">
        <v>160</v>
      </c>
      <c r="J9" s="58" t="s">
        <v>123</v>
      </c>
      <c r="K9" s="59" t="s">
        <v>149</v>
      </c>
      <c r="L9" s="60" t="s">
        <v>161</v>
      </c>
    </row>
    <row r="10">
      <c r="A10" s="53" t="s">
        <v>162</v>
      </c>
      <c r="B10" s="54" t="s">
        <v>116</v>
      </c>
      <c r="C10" s="55">
        <v>46312.0</v>
      </c>
      <c r="D10" s="58" t="s">
        <v>145</v>
      </c>
      <c r="E10" s="61" t="s">
        <v>163</v>
      </c>
      <c r="F10" s="58" t="s">
        <v>164</v>
      </c>
      <c r="G10" s="58" t="s">
        <v>165</v>
      </c>
      <c r="H10" s="58" t="s">
        <v>121</v>
      </c>
      <c r="I10" s="53" t="s">
        <v>160</v>
      </c>
      <c r="J10" s="58" t="s">
        <v>123</v>
      </c>
      <c r="K10" s="59" t="s">
        <v>166</v>
      </c>
      <c r="L10" s="60" t="s">
        <v>167</v>
      </c>
    </row>
    <row r="11">
      <c r="A11" s="53" t="s">
        <v>168</v>
      </c>
      <c r="B11" s="54" t="s">
        <v>116</v>
      </c>
      <c r="C11" s="55">
        <v>46312.0</v>
      </c>
      <c r="D11" s="58" t="s">
        <v>169</v>
      </c>
      <c r="E11" s="61" t="s">
        <v>170</v>
      </c>
      <c r="F11" s="58" t="s">
        <v>171</v>
      </c>
      <c r="G11" s="58" t="s">
        <v>172</v>
      </c>
      <c r="H11" s="58" t="s">
        <v>162</v>
      </c>
      <c r="I11" s="53" t="s">
        <v>122</v>
      </c>
      <c r="J11" s="58" t="s">
        <v>123</v>
      </c>
      <c r="K11" s="59" t="s">
        <v>166</v>
      </c>
      <c r="L11" s="60" t="s">
        <v>173</v>
      </c>
    </row>
    <row r="12">
      <c r="A12" s="53" t="s">
        <v>174</v>
      </c>
      <c r="B12" s="54" t="s">
        <v>116</v>
      </c>
      <c r="C12" s="55">
        <v>46312.0</v>
      </c>
      <c r="D12" s="58" t="s">
        <v>175</v>
      </c>
      <c r="E12" s="61" t="s">
        <v>176</v>
      </c>
      <c r="F12" s="58" t="s">
        <v>177</v>
      </c>
      <c r="G12" s="58" t="s">
        <v>178</v>
      </c>
      <c r="H12" s="58" t="s">
        <v>162</v>
      </c>
      <c r="I12" s="53" t="s">
        <v>160</v>
      </c>
      <c r="J12" s="58" t="s">
        <v>123</v>
      </c>
      <c r="K12" s="59" t="s">
        <v>166</v>
      </c>
      <c r="L12" s="60" t="s">
        <v>179</v>
      </c>
    </row>
    <row r="13">
      <c r="A13" s="53" t="s">
        <v>180</v>
      </c>
      <c r="B13" s="54" t="s">
        <v>116</v>
      </c>
      <c r="C13" s="55">
        <v>46312.0</v>
      </c>
      <c r="D13" s="58" t="s">
        <v>181</v>
      </c>
      <c r="E13" s="61" t="s">
        <v>182</v>
      </c>
      <c r="F13" s="58" t="s">
        <v>183</v>
      </c>
      <c r="G13" s="58" t="s">
        <v>184</v>
      </c>
      <c r="H13" s="58" t="s">
        <v>121</v>
      </c>
      <c r="I13" s="53" t="s">
        <v>160</v>
      </c>
      <c r="J13" s="58" t="s">
        <v>185</v>
      </c>
      <c r="K13" s="59" t="s">
        <v>186</v>
      </c>
      <c r="L13" s="60" t="s">
        <v>187</v>
      </c>
    </row>
    <row r="14">
      <c r="A14" s="53" t="s">
        <v>188</v>
      </c>
      <c r="B14" s="62" t="s">
        <v>189</v>
      </c>
      <c r="C14" s="55">
        <v>46325.0</v>
      </c>
      <c r="D14" s="58" t="s">
        <v>133</v>
      </c>
      <c r="E14" s="57" t="s">
        <v>190</v>
      </c>
      <c r="F14" s="56" t="s">
        <v>191</v>
      </c>
      <c r="G14" s="56" t="s">
        <v>192</v>
      </c>
      <c r="H14" s="58" t="s">
        <v>193</v>
      </c>
      <c r="I14" s="53" t="s">
        <v>122</v>
      </c>
      <c r="J14" s="58" t="s">
        <v>185</v>
      </c>
      <c r="K14" s="59" t="s">
        <v>124</v>
      </c>
      <c r="L14" s="60" t="s">
        <v>194</v>
      </c>
    </row>
    <row r="15">
      <c r="A15" s="53" t="s">
        <v>195</v>
      </c>
      <c r="B15" s="62" t="s">
        <v>189</v>
      </c>
      <c r="C15" s="55">
        <v>46325.0</v>
      </c>
      <c r="D15" s="58" t="s">
        <v>127</v>
      </c>
      <c r="E15" s="57" t="s">
        <v>196</v>
      </c>
      <c r="F15" s="56" t="s">
        <v>197</v>
      </c>
      <c r="G15" s="56" t="s">
        <v>198</v>
      </c>
      <c r="H15" s="58" t="s">
        <v>126</v>
      </c>
      <c r="I15" s="53" t="s">
        <v>160</v>
      </c>
      <c r="J15" s="58" t="s">
        <v>185</v>
      </c>
      <c r="K15" s="59" t="s">
        <v>124</v>
      </c>
      <c r="L15" s="60" t="s">
        <v>199</v>
      </c>
    </row>
    <row r="16">
      <c r="A16" s="53" t="s">
        <v>200</v>
      </c>
      <c r="B16" s="62" t="s">
        <v>189</v>
      </c>
      <c r="C16" s="55">
        <v>46325.0</v>
      </c>
      <c r="D16" s="58" t="s">
        <v>169</v>
      </c>
      <c r="E16" s="61" t="s">
        <v>201</v>
      </c>
      <c r="F16" s="58" t="s">
        <v>202</v>
      </c>
      <c r="G16" s="58" t="s">
        <v>203</v>
      </c>
      <c r="H16" s="58" t="s">
        <v>204</v>
      </c>
      <c r="I16" s="53" t="s">
        <v>122</v>
      </c>
      <c r="J16" s="58" t="s">
        <v>185</v>
      </c>
      <c r="K16" s="59" t="s">
        <v>124</v>
      </c>
      <c r="L16" s="60" t="s">
        <v>205</v>
      </c>
    </row>
    <row r="17">
      <c r="A17" s="53" t="s">
        <v>206</v>
      </c>
      <c r="B17" s="62" t="s">
        <v>189</v>
      </c>
      <c r="C17" s="55">
        <v>46325.0</v>
      </c>
      <c r="D17" s="58" t="s">
        <v>207</v>
      </c>
      <c r="E17" s="57" t="s">
        <v>208</v>
      </c>
      <c r="F17" s="56" t="s">
        <v>209</v>
      </c>
      <c r="G17" s="56" t="s">
        <v>210</v>
      </c>
      <c r="H17" s="58" t="s">
        <v>211</v>
      </c>
      <c r="I17" s="53" t="s">
        <v>122</v>
      </c>
      <c r="J17" s="58" t="s">
        <v>185</v>
      </c>
      <c r="K17" s="59" t="s">
        <v>149</v>
      </c>
      <c r="L17" s="60" t="s">
        <v>212</v>
      </c>
    </row>
    <row r="18">
      <c r="A18" s="53" t="s">
        <v>213</v>
      </c>
      <c r="B18" s="62" t="s">
        <v>189</v>
      </c>
      <c r="C18" s="55">
        <v>46325.0</v>
      </c>
      <c r="D18" s="58" t="s">
        <v>207</v>
      </c>
      <c r="E18" s="57" t="s">
        <v>214</v>
      </c>
      <c r="F18" s="56" t="s">
        <v>215</v>
      </c>
      <c r="G18" s="56" t="s">
        <v>216</v>
      </c>
      <c r="H18" s="58" t="s">
        <v>217</v>
      </c>
      <c r="I18" s="53" t="s">
        <v>122</v>
      </c>
      <c r="J18" s="58" t="s">
        <v>185</v>
      </c>
      <c r="K18" s="59" t="s">
        <v>149</v>
      </c>
      <c r="L18" s="60" t="s">
        <v>218</v>
      </c>
    </row>
    <row r="19">
      <c r="A19" s="53" t="s">
        <v>219</v>
      </c>
      <c r="B19" s="62" t="s">
        <v>189</v>
      </c>
      <c r="C19" s="55">
        <v>46325.0</v>
      </c>
      <c r="D19" s="58" t="s">
        <v>220</v>
      </c>
      <c r="E19" s="61" t="s">
        <v>221</v>
      </c>
      <c r="F19" s="58" t="s">
        <v>222</v>
      </c>
      <c r="G19" s="58" t="s">
        <v>223</v>
      </c>
      <c r="H19" s="58" t="s">
        <v>224</v>
      </c>
      <c r="I19" s="53" t="s">
        <v>122</v>
      </c>
      <c r="J19" s="58" t="s">
        <v>185</v>
      </c>
      <c r="K19" s="59" t="s">
        <v>166</v>
      </c>
      <c r="L19" s="60" t="s">
        <v>225</v>
      </c>
    </row>
    <row r="20">
      <c r="A20" s="53" t="s">
        <v>226</v>
      </c>
      <c r="B20" s="62" t="s">
        <v>189</v>
      </c>
      <c r="C20" s="55">
        <v>46325.0</v>
      </c>
      <c r="D20" s="58" t="s">
        <v>207</v>
      </c>
      <c r="E20" s="57" t="s">
        <v>227</v>
      </c>
      <c r="F20" s="56" t="s">
        <v>228</v>
      </c>
      <c r="G20" s="56" t="s">
        <v>229</v>
      </c>
      <c r="H20" s="58" t="s">
        <v>230</v>
      </c>
      <c r="I20" s="53" t="s">
        <v>122</v>
      </c>
      <c r="J20" s="58" t="s">
        <v>185</v>
      </c>
      <c r="K20" s="59" t="s">
        <v>166</v>
      </c>
      <c r="L20" s="60" t="s">
        <v>231</v>
      </c>
    </row>
    <row r="21">
      <c r="A21" s="53" t="s">
        <v>232</v>
      </c>
      <c r="B21" s="62" t="s">
        <v>189</v>
      </c>
      <c r="C21" s="55">
        <v>46325.0</v>
      </c>
      <c r="D21" s="58" t="s">
        <v>175</v>
      </c>
      <c r="E21" s="57" t="s">
        <v>233</v>
      </c>
      <c r="F21" s="56" t="s">
        <v>234</v>
      </c>
      <c r="G21" s="56" t="s">
        <v>235</v>
      </c>
      <c r="H21" s="58" t="s">
        <v>236</v>
      </c>
      <c r="I21" s="53" t="s">
        <v>160</v>
      </c>
      <c r="J21" s="58" t="s">
        <v>185</v>
      </c>
      <c r="K21" s="59" t="s">
        <v>237</v>
      </c>
      <c r="L21" s="60" t="s">
        <v>238</v>
      </c>
    </row>
    <row r="22">
      <c r="A22" s="53" t="s">
        <v>239</v>
      </c>
      <c r="B22" s="62" t="s">
        <v>189</v>
      </c>
      <c r="C22" s="55">
        <v>46325.0</v>
      </c>
      <c r="D22" s="58" t="s">
        <v>175</v>
      </c>
      <c r="E22" s="57" t="s">
        <v>240</v>
      </c>
      <c r="F22" s="56" t="s">
        <v>241</v>
      </c>
      <c r="G22" s="56" t="s">
        <v>242</v>
      </c>
      <c r="H22" s="58" t="s">
        <v>236</v>
      </c>
      <c r="I22" s="53" t="s">
        <v>160</v>
      </c>
      <c r="J22" s="58" t="s">
        <v>185</v>
      </c>
      <c r="K22" s="59" t="s">
        <v>237</v>
      </c>
      <c r="L22" s="60" t="s">
        <v>243</v>
      </c>
    </row>
    <row r="23">
      <c r="A23" s="53" t="s">
        <v>244</v>
      </c>
      <c r="B23" s="62" t="s">
        <v>189</v>
      </c>
      <c r="C23" s="55">
        <v>46325.0</v>
      </c>
      <c r="D23" s="63" t="s">
        <v>169</v>
      </c>
      <c r="E23" s="64" t="s">
        <v>245</v>
      </c>
      <c r="F23" s="65" t="s">
        <v>246</v>
      </c>
      <c r="G23" s="65" t="s">
        <v>247</v>
      </c>
      <c r="H23" s="58" t="s">
        <v>162</v>
      </c>
      <c r="I23" s="53" t="s">
        <v>160</v>
      </c>
      <c r="J23" s="58" t="s">
        <v>185</v>
      </c>
      <c r="K23" s="59" t="s">
        <v>149</v>
      </c>
      <c r="L23" s="60" t="s">
        <v>248</v>
      </c>
    </row>
    <row r="24">
      <c r="A24" s="53" t="s">
        <v>249</v>
      </c>
      <c r="B24" s="62" t="s">
        <v>189</v>
      </c>
      <c r="C24" s="55">
        <v>46325.0</v>
      </c>
      <c r="D24" s="63" t="s">
        <v>181</v>
      </c>
      <c r="E24" s="64" t="s">
        <v>250</v>
      </c>
      <c r="F24" s="65" t="s">
        <v>251</v>
      </c>
      <c r="G24" s="65" t="s">
        <v>252</v>
      </c>
      <c r="H24" s="58" t="s">
        <v>253</v>
      </c>
      <c r="I24" s="53" t="s">
        <v>160</v>
      </c>
      <c r="J24" s="58" t="s">
        <v>185</v>
      </c>
      <c r="K24" s="59" t="s">
        <v>124</v>
      </c>
      <c r="L24" s="60" t="s">
        <v>254</v>
      </c>
    </row>
    <row r="25">
      <c r="A25" s="53" t="s">
        <v>255</v>
      </c>
      <c r="B25" s="62" t="s">
        <v>189</v>
      </c>
      <c r="C25" s="55">
        <v>46325.0</v>
      </c>
      <c r="D25" s="63" t="s">
        <v>256</v>
      </c>
      <c r="E25" s="66" t="s">
        <v>257</v>
      </c>
      <c r="F25" s="63" t="s">
        <v>258</v>
      </c>
      <c r="G25" s="63" t="s">
        <v>259</v>
      </c>
      <c r="H25" s="63" t="s">
        <v>162</v>
      </c>
      <c r="I25" s="53" t="s">
        <v>260</v>
      </c>
      <c r="J25" s="58" t="s">
        <v>185</v>
      </c>
      <c r="K25" s="59" t="s">
        <v>124</v>
      </c>
      <c r="L25" s="60" t="s">
        <v>261</v>
      </c>
    </row>
    <row r="26">
      <c r="A26" s="67" t="s">
        <v>262</v>
      </c>
      <c r="B26" s="62" t="s">
        <v>189</v>
      </c>
      <c r="C26" s="55">
        <v>46325.0</v>
      </c>
      <c r="D26" s="68" t="s">
        <v>263</v>
      </c>
      <c r="E26" s="69" t="s">
        <v>264</v>
      </c>
      <c r="F26" s="68" t="s">
        <v>265</v>
      </c>
      <c r="G26" s="68" t="s">
        <v>266</v>
      </c>
      <c r="H26" s="70" t="s">
        <v>156</v>
      </c>
      <c r="I26" s="53" t="s">
        <v>160</v>
      </c>
      <c r="J26" s="58" t="s">
        <v>185</v>
      </c>
      <c r="K26" s="59" t="s">
        <v>186</v>
      </c>
      <c r="L26" s="71" t="s">
        <v>267</v>
      </c>
    </row>
    <row r="27">
      <c r="A27" s="67" t="s">
        <v>268</v>
      </c>
      <c r="B27" s="62" t="s">
        <v>189</v>
      </c>
      <c r="C27" s="55">
        <v>46325.0</v>
      </c>
      <c r="D27" s="68" t="s">
        <v>181</v>
      </c>
      <c r="E27" s="69" t="s">
        <v>269</v>
      </c>
      <c r="F27" s="68" t="s">
        <v>270</v>
      </c>
      <c r="G27" s="68" t="s">
        <v>271</v>
      </c>
      <c r="H27" s="70" t="s">
        <v>180</v>
      </c>
      <c r="I27" s="53" t="s">
        <v>260</v>
      </c>
      <c r="J27" s="58" t="s">
        <v>185</v>
      </c>
      <c r="K27" s="59" t="s">
        <v>186</v>
      </c>
      <c r="L27" s="71" t="s">
        <v>272</v>
      </c>
    </row>
    <row r="28">
      <c r="A28" s="67" t="s">
        <v>273</v>
      </c>
      <c r="B28" s="62" t="s">
        <v>189</v>
      </c>
      <c r="C28" s="55">
        <v>46325.0</v>
      </c>
      <c r="D28" s="68" t="s">
        <v>175</v>
      </c>
      <c r="E28" s="69" t="s">
        <v>274</v>
      </c>
      <c r="F28" s="68" t="s">
        <v>275</v>
      </c>
      <c r="G28" s="68" t="s">
        <v>276</v>
      </c>
      <c r="H28" s="70" t="s">
        <v>236</v>
      </c>
      <c r="I28" s="53" t="s">
        <v>160</v>
      </c>
      <c r="J28" s="58" t="s">
        <v>185</v>
      </c>
      <c r="K28" s="59" t="s">
        <v>237</v>
      </c>
      <c r="L28" s="71" t="s">
        <v>277</v>
      </c>
    </row>
    <row r="29">
      <c r="A29" s="67" t="s">
        <v>278</v>
      </c>
      <c r="B29" s="62" t="s">
        <v>189</v>
      </c>
      <c r="C29" s="55">
        <v>46325.0</v>
      </c>
      <c r="D29" s="68" t="s">
        <v>169</v>
      </c>
      <c r="E29" s="69" t="s">
        <v>279</v>
      </c>
      <c r="F29" s="68" t="s">
        <v>280</v>
      </c>
      <c r="G29" s="68" t="s">
        <v>281</v>
      </c>
      <c r="H29" s="70" t="s">
        <v>162</v>
      </c>
      <c r="I29" s="53" t="s">
        <v>160</v>
      </c>
      <c r="J29" s="58" t="s">
        <v>185</v>
      </c>
      <c r="K29" s="59" t="s">
        <v>237</v>
      </c>
      <c r="L29" s="71" t="s">
        <v>282</v>
      </c>
    </row>
    <row r="30">
      <c r="A30" s="53" t="s">
        <v>283</v>
      </c>
      <c r="B30" s="62" t="s">
        <v>189</v>
      </c>
      <c r="C30" s="55">
        <v>46325.0</v>
      </c>
      <c r="D30" s="63" t="s">
        <v>284</v>
      </c>
      <c r="E30" s="69" t="s">
        <v>285</v>
      </c>
      <c r="F30" s="65" t="s">
        <v>286</v>
      </c>
      <c r="G30" s="65" t="s">
        <v>287</v>
      </c>
      <c r="H30" s="58" t="s">
        <v>168</v>
      </c>
      <c r="I30" s="53" t="s">
        <v>122</v>
      </c>
      <c r="J30" s="58" t="s">
        <v>185</v>
      </c>
      <c r="K30" s="59" t="s">
        <v>166</v>
      </c>
      <c r="L30" s="60" t="s">
        <v>288</v>
      </c>
    </row>
    <row r="31">
      <c r="A31" s="53" t="s">
        <v>289</v>
      </c>
      <c r="B31" s="62" t="s">
        <v>189</v>
      </c>
      <c r="C31" s="55">
        <v>46325.0</v>
      </c>
      <c r="D31" s="63" t="s">
        <v>290</v>
      </c>
      <c r="E31" s="69" t="s">
        <v>291</v>
      </c>
      <c r="F31" s="65" t="s">
        <v>292</v>
      </c>
      <c r="G31" s="65" t="s">
        <v>293</v>
      </c>
      <c r="H31" s="58" t="s">
        <v>174</v>
      </c>
      <c r="I31" s="53" t="s">
        <v>160</v>
      </c>
      <c r="J31" s="58" t="s">
        <v>185</v>
      </c>
      <c r="K31" s="59" t="s">
        <v>166</v>
      </c>
      <c r="L31" s="60" t="s">
        <v>294</v>
      </c>
    </row>
    <row r="32">
      <c r="A32" s="53" t="s">
        <v>295</v>
      </c>
      <c r="B32" s="62" t="s">
        <v>189</v>
      </c>
      <c r="C32" s="55">
        <v>46325.0</v>
      </c>
      <c r="D32" s="63" t="s">
        <v>290</v>
      </c>
      <c r="E32" s="69" t="s">
        <v>296</v>
      </c>
      <c r="F32" s="65" t="s">
        <v>297</v>
      </c>
      <c r="G32" s="65" t="s">
        <v>298</v>
      </c>
      <c r="H32" s="58" t="s">
        <v>121</v>
      </c>
      <c r="I32" s="53" t="s">
        <v>160</v>
      </c>
      <c r="J32" s="58" t="s">
        <v>185</v>
      </c>
      <c r="K32" s="59" t="s">
        <v>237</v>
      </c>
      <c r="L32" s="60" t="s">
        <v>299</v>
      </c>
    </row>
    <row r="33">
      <c r="A33" s="53" t="s">
        <v>300</v>
      </c>
      <c r="B33" s="62" t="s">
        <v>189</v>
      </c>
      <c r="C33" s="55">
        <v>46325.0</v>
      </c>
      <c r="D33" s="63" t="s">
        <v>301</v>
      </c>
      <c r="E33" s="69" t="s">
        <v>302</v>
      </c>
      <c r="F33" s="65" t="s">
        <v>303</v>
      </c>
      <c r="G33" s="65" t="s">
        <v>304</v>
      </c>
      <c r="H33" s="58" t="s">
        <v>162</v>
      </c>
      <c r="I33" s="53" t="s">
        <v>160</v>
      </c>
      <c r="J33" s="58" t="s">
        <v>185</v>
      </c>
      <c r="K33" s="59" t="s">
        <v>186</v>
      </c>
      <c r="L33" s="60" t="s">
        <v>305</v>
      </c>
    </row>
    <row r="34">
      <c r="A34" s="53" t="s">
        <v>306</v>
      </c>
      <c r="B34" s="62" t="s">
        <v>189</v>
      </c>
      <c r="C34" s="55">
        <v>46325.0</v>
      </c>
      <c r="D34" s="63" t="s">
        <v>263</v>
      </c>
      <c r="E34" s="69" t="s">
        <v>307</v>
      </c>
      <c r="F34" s="65" t="s">
        <v>308</v>
      </c>
      <c r="G34" s="65" t="s">
        <v>309</v>
      </c>
      <c r="H34" s="58" t="s">
        <v>121</v>
      </c>
      <c r="I34" s="53" t="s">
        <v>260</v>
      </c>
      <c r="J34" s="58" t="s">
        <v>185</v>
      </c>
      <c r="K34" s="59" t="s">
        <v>186</v>
      </c>
      <c r="L34" s="60" t="s">
        <v>310</v>
      </c>
    </row>
    <row r="35">
      <c r="A35" s="53" t="s">
        <v>311</v>
      </c>
      <c r="B35" s="72" t="s">
        <v>312</v>
      </c>
      <c r="C35" s="73">
        <v>46326.0</v>
      </c>
      <c r="D35" s="63" t="s">
        <v>117</v>
      </c>
      <c r="E35" s="69" t="s">
        <v>313</v>
      </c>
      <c r="F35" s="65" t="s">
        <v>314</v>
      </c>
      <c r="G35" s="65" t="s">
        <v>315</v>
      </c>
      <c r="H35" s="58" t="s">
        <v>115</v>
      </c>
      <c r="I35" s="53" t="s">
        <v>260</v>
      </c>
      <c r="J35" s="58" t="s">
        <v>185</v>
      </c>
      <c r="K35" s="59" t="s">
        <v>124</v>
      </c>
      <c r="L35" s="60" t="s">
        <v>316</v>
      </c>
    </row>
    <row r="36">
      <c r="A36" s="53" t="s">
        <v>317</v>
      </c>
      <c r="B36" s="72" t="s">
        <v>312</v>
      </c>
      <c r="C36" s="73">
        <v>46326.0</v>
      </c>
      <c r="D36" s="63" t="s">
        <v>318</v>
      </c>
      <c r="E36" s="69" t="s">
        <v>319</v>
      </c>
      <c r="F36" s="65" t="s">
        <v>320</v>
      </c>
      <c r="G36" s="65" t="s">
        <v>321</v>
      </c>
      <c r="H36" s="58" t="s">
        <v>322</v>
      </c>
      <c r="I36" s="53" t="s">
        <v>260</v>
      </c>
      <c r="J36" s="58" t="s">
        <v>185</v>
      </c>
      <c r="K36" s="59" t="s">
        <v>149</v>
      </c>
      <c r="L36" s="60" t="s">
        <v>323</v>
      </c>
    </row>
    <row r="37">
      <c r="A37" s="53" t="s">
        <v>324</v>
      </c>
      <c r="B37" s="72" t="s">
        <v>312</v>
      </c>
      <c r="C37" s="73">
        <v>46326.0</v>
      </c>
      <c r="D37" s="63" t="s">
        <v>220</v>
      </c>
      <c r="E37" s="66" t="s">
        <v>325</v>
      </c>
      <c r="F37" s="63" t="s">
        <v>326</v>
      </c>
      <c r="G37" s="63" t="s">
        <v>327</v>
      </c>
      <c r="H37" s="58" t="s">
        <v>328</v>
      </c>
      <c r="I37" s="53" t="s">
        <v>260</v>
      </c>
      <c r="J37" s="58" t="s">
        <v>185</v>
      </c>
      <c r="K37" s="59" t="s">
        <v>166</v>
      </c>
      <c r="L37" s="60" t="s">
        <v>329</v>
      </c>
    </row>
    <row r="38">
      <c r="A38" s="53" t="s">
        <v>330</v>
      </c>
      <c r="B38" s="72" t="s">
        <v>312</v>
      </c>
      <c r="C38" s="73">
        <v>46326.0</v>
      </c>
      <c r="D38" s="63" t="s">
        <v>145</v>
      </c>
      <c r="E38" s="66" t="s">
        <v>331</v>
      </c>
      <c r="F38" s="63" t="s">
        <v>332</v>
      </c>
      <c r="G38" s="63" t="s">
        <v>333</v>
      </c>
      <c r="H38" s="58" t="s">
        <v>174</v>
      </c>
      <c r="I38" s="53" t="s">
        <v>160</v>
      </c>
      <c r="J38" s="58" t="s">
        <v>185</v>
      </c>
      <c r="K38" s="59" t="s">
        <v>237</v>
      </c>
      <c r="L38" s="60" t="s">
        <v>334</v>
      </c>
    </row>
    <row r="39">
      <c r="A39" s="53" t="s">
        <v>335</v>
      </c>
      <c r="B39" s="72" t="s">
        <v>312</v>
      </c>
      <c r="C39" s="73">
        <v>46326.0</v>
      </c>
      <c r="D39" s="63" t="s">
        <v>318</v>
      </c>
      <c r="E39" s="66" t="s">
        <v>336</v>
      </c>
      <c r="F39" s="63" t="s">
        <v>337</v>
      </c>
      <c r="G39" s="63" t="s">
        <v>338</v>
      </c>
      <c r="H39" s="58" t="s">
        <v>151</v>
      </c>
      <c r="I39" s="53" t="s">
        <v>260</v>
      </c>
      <c r="J39" s="58" t="s">
        <v>185</v>
      </c>
      <c r="K39" s="59" t="s">
        <v>186</v>
      </c>
      <c r="L39" s="60" t="s">
        <v>339</v>
      </c>
    </row>
    <row r="40">
      <c r="A40" s="53" t="s">
        <v>340</v>
      </c>
      <c r="B40" s="72" t="s">
        <v>312</v>
      </c>
      <c r="C40" s="73">
        <v>46326.0</v>
      </c>
      <c r="D40" s="63" t="s">
        <v>318</v>
      </c>
      <c r="E40" s="69" t="s">
        <v>341</v>
      </c>
      <c r="F40" s="65" t="s">
        <v>342</v>
      </c>
      <c r="G40" s="65" t="s">
        <v>343</v>
      </c>
      <c r="H40" s="58" t="s">
        <v>121</v>
      </c>
      <c r="I40" s="53" t="s">
        <v>122</v>
      </c>
      <c r="J40" s="58" t="s">
        <v>185</v>
      </c>
      <c r="K40" s="59" t="s">
        <v>344</v>
      </c>
      <c r="L40" s="60" t="s">
        <v>345</v>
      </c>
    </row>
    <row r="41">
      <c r="A41" s="74" t="s">
        <v>346</v>
      </c>
      <c r="B41" s="72" t="s">
        <v>312</v>
      </c>
      <c r="C41" s="75">
        <v>46326.0</v>
      </c>
      <c r="D41" s="76" t="s">
        <v>145</v>
      </c>
      <c r="E41" s="69" t="s">
        <v>347</v>
      </c>
      <c r="F41" s="68" t="s">
        <v>348</v>
      </c>
      <c r="G41" s="68" t="s">
        <v>349</v>
      </c>
      <c r="H41" s="77" t="s">
        <v>156</v>
      </c>
      <c r="I41" s="53" t="s">
        <v>260</v>
      </c>
      <c r="J41" s="58" t="s">
        <v>185</v>
      </c>
      <c r="K41" s="59" t="s">
        <v>149</v>
      </c>
      <c r="L41" s="78" t="s">
        <v>350</v>
      </c>
    </row>
    <row r="42">
      <c r="A42" s="74" t="s">
        <v>351</v>
      </c>
      <c r="B42" s="72" t="s">
        <v>312</v>
      </c>
      <c r="C42" s="75">
        <v>46326.0</v>
      </c>
      <c r="D42" s="76" t="s">
        <v>117</v>
      </c>
      <c r="E42" s="69" t="s">
        <v>352</v>
      </c>
      <c r="F42" s="68" t="s">
        <v>353</v>
      </c>
      <c r="G42" s="68" t="s">
        <v>354</v>
      </c>
      <c r="H42" s="77" t="s">
        <v>355</v>
      </c>
      <c r="I42" s="53" t="s">
        <v>160</v>
      </c>
      <c r="J42" s="58" t="s">
        <v>185</v>
      </c>
      <c r="K42" s="59" t="s">
        <v>124</v>
      </c>
      <c r="L42" s="78" t="s">
        <v>356</v>
      </c>
    </row>
    <row r="43" ht="15.75" customHeight="1">
      <c r="A43" s="79" t="s">
        <v>357</v>
      </c>
      <c r="B43" s="80" t="s">
        <v>124</v>
      </c>
      <c r="C43" s="81" t="s">
        <v>149</v>
      </c>
      <c r="D43" s="82" t="s">
        <v>166</v>
      </c>
      <c r="E43" s="83" t="s">
        <v>237</v>
      </c>
      <c r="F43" s="84" t="s">
        <v>186</v>
      </c>
      <c r="G43" s="85" t="s">
        <v>358</v>
      </c>
      <c r="H43" s="86"/>
      <c r="I43" s="86"/>
      <c r="J43" s="86"/>
      <c r="K43" s="86"/>
      <c r="L43" s="86"/>
    </row>
    <row r="44" ht="15.75" customHeight="1">
      <c r="A44" s="87" t="s">
        <v>359</v>
      </c>
      <c r="B44" s="88"/>
      <c r="C44" s="88"/>
      <c r="D44" s="88"/>
      <c r="E44" s="88"/>
      <c r="F44" s="88"/>
      <c r="G44" s="88"/>
      <c r="H44" s="88"/>
      <c r="I44" s="88"/>
      <c r="J44" s="88"/>
      <c r="K44" s="88"/>
      <c r="L44" s="88"/>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sheetData>
  <mergeCells count="1">
    <mergeCell ref="A1:L1"/>
  </mergeCells>
  <dataValidations>
    <dataValidation type="list" allowBlank="1" showErrorMessage="1" sqref="K3:K42">
      <formula1>"Vinh,Vũ,Hào,V.Huy,Quang Huy,All"</formula1>
    </dataValidation>
    <dataValidation type="list" allowBlank="1" showErrorMessage="1" sqref="B3:B44">
      <formula1>"Giai đoạn 1,Giai đoạn 2,Giai đoạn 3,Vinh"</formula1>
    </dataValidation>
    <dataValidation type="list" allowBlank="1" sqref="J3:J42">
      <formula1>"Not Yet,In Progress,Done,Blocked"</formula1>
    </dataValidation>
    <dataValidation type="list" allowBlank="1" showErrorMessage="1" sqref="I3:I42">
      <formula1>"P0,P1,P2"</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71"/>
    <col customWidth="1" min="2" max="2" width="20.71"/>
    <col customWidth="1" min="3" max="3" width="21.57"/>
    <col customWidth="1" min="4" max="4" width="66.57"/>
    <col customWidth="1" min="5" max="5" width="24.43"/>
    <col customWidth="1" min="6" max="6" width="22.29"/>
    <col customWidth="1" min="7" max="26" width="8.71"/>
  </cols>
  <sheetData>
    <row r="1" ht="31.5" customHeight="1">
      <c r="A1" s="29" t="s">
        <v>63</v>
      </c>
    </row>
    <row r="2" ht="25.5" customHeight="1">
      <c r="A2" s="30" t="s">
        <v>47</v>
      </c>
      <c r="B2" s="31" t="s">
        <v>360</v>
      </c>
      <c r="C2" s="31" t="s">
        <v>361</v>
      </c>
      <c r="D2" s="31" t="s">
        <v>362</v>
      </c>
      <c r="E2" s="31" t="s">
        <v>363</v>
      </c>
      <c r="F2" s="32" t="s">
        <v>364</v>
      </c>
    </row>
    <row r="3" ht="34.5" customHeight="1">
      <c r="A3" s="33">
        <v>1.0</v>
      </c>
      <c r="B3" s="89" t="s">
        <v>95</v>
      </c>
      <c r="C3" s="36" t="s">
        <v>365</v>
      </c>
      <c r="D3" s="90" t="s">
        <v>366</v>
      </c>
      <c r="E3" s="35" t="s">
        <v>95</v>
      </c>
      <c r="F3" s="91" t="s">
        <v>367</v>
      </c>
    </row>
    <row r="4" ht="34.5" customHeight="1">
      <c r="A4" s="44">
        <v>2.0</v>
      </c>
      <c r="B4" s="92" t="s">
        <v>95</v>
      </c>
      <c r="C4" s="47" t="s">
        <v>368</v>
      </c>
      <c r="D4" s="93" t="s">
        <v>369</v>
      </c>
      <c r="E4" s="46" t="s">
        <v>95</v>
      </c>
      <c r="F4" s="94" t="s">
        <v>370</v>
      </c>
    </row>
    <row r="5" ht="34.5" customHeight="1">
      <c r="A5" s="95">
        <v>3.0</v>
      </c>
      <c r="B5" s="96" t="s">
        <v>80</v>
      </c>
      <c r="C5" s="97" t="s">
        <v>365</v>
      </c>
      <c r="D5" s="98" t="s">
        <v>371</v>
      </c>
      <c r="E5" s="99" t="s">
        <v>80</v>
      </c>
      <c r="F5" s="100" t="s">
        <v>372</v>
      </c>
    </row>
    <row r="6" ht="34.5" customHeight="1">
      <c r="A6" s="44">
        <v>4.0</v>
      </c>
      <c r="B6" s="92" t="s">
        <v>80</v>
      </c>
      <c r="C6" s="47" t="s">
        <v>368</v>
      </c>
      <c r="D6" s="93" t="s">
        <v>373</v>
      </c>
      <c r="E6" s="46" t="s">
        <v>80</v>
      </c>
      <c r="F6" s="94" t="s">
        <v>374</v>
      </c>
    </row>
    <row r="7" ht="30.0" customHeight="1">
      <c r="A7" s="95">
        <v>5.0</v>
      </c>
      <c r="B7" s="96" t="s">
        <v>375</v>
      </c>
      <c r="C7" s="97" t="s">
        <v>365</v>
      </c>
      <c r="D7" s="98" t="s">
        <v>376</v>
      </c>
      <c r="E7" s="99" t="s">
        <v>375</v>
      </c>
      <c r="F7" s="100" t="s">
        <v>377</v>
      </c>
    </row>
    <row r="8" ht="34.5" customHeight="1">
      <c r="A8" s="44">
        <v>6.0</v>
      </c>
      <c r="B8" s="92" t="s">
        <v>375</v>
      </c>
      <c r="C8" s="47" t="s">
        <v>368</v>
      </c>
      <c r="D8" s="93" t="s">
        <v>378</v>
      </c>
      <c r="E8" s="46" t="s">
        <v>375</v>
      </c>
      <c r="F8" s="101" t="s">
        <v>379</v>
      </c>
    </row>
    <row r="9" ht="30.0" customHeight="1">
      <c r="A9" s="95">
        <v>7.0</v>
      </c>
      <c r="B9" s="102" t="s">
        <v>380</v>
      </c>
      <c r="C9" s="97" t="s">
        <v>365</v>
      </c>
      <c r="D9" s="98" t="s">
        <v>381</v>
      </c>
      <c r="E9" s="99" t="s">
        <v>64</v>
      </c>
      <c r="F9" s="100" t="s">
        <v>377</v>
      </c>
    </row>
    <row r="10" ht="34.5" customHeight="1">
      <c r="A10" s="44">
        <v>8.0</v>
      </c>
      <c r="B10" s="45" t="s">
        <v>380</v>
      </c>
      <c r="C10" s="47" t="s">
        <v>368</v>
      </c>
      <c r="D10" s="93" t="s">
        <v>382</v>
      </c>
      <c r="E10" s="46" t="s">
        <v>92</v>
      </c>
      <c r="F10" s="94" t="s">
        <v>383</v>
      </c>
    </row>
    <row r="11" ht="34.5" customHeight="1">
      <c r="A11" s="95">
        <v>9.0</v>
      </c>
      <c r="B11" s="102" t="s">
        <v>384</v>
      </c>
      <c r="C11" s="97" t="s">
        <v>365</v>
      </c>
      <c r="D11" s="98" t="s">
        <v>385</v>
      </c>
      <c r="E11" s="99" t="s">
        <v>98</v>
      </c>
      <c r="F11" s="100" t="s">
        <v>377</v>
      </c>
    </row>
    <row r="12" ht="34.5" customHeight="1">
      <c r="A12" s="44">
        <v>10.0</v>
      </c>
      <c r="B12" s="45" t="s">
        <v>384</v>
      </c>
      <c r="C12" s="47" t="s">
        <v>368</v>
      </c>
      <c r="D12" s="93" t="s">
        <v>386</v>
      </c>
      <c r="E12" s="46" t="s">
        <v>98</v>
      </c>
      <c r="F12" s="94" t="s">
        <v>387</v>
      </c>
    </row>
    <row r="13" ht="34.5" customHeight="1">
      <c r="A13" s="95">
        <v>11.0</v>
      </c>
      <c r="B13" s="102" t="s">
        <v>388</v>
      </c>
      <c r="C13" s="97" t="s">
        <v>365</v>
      </c>
      <c r="D13" s="98" t="s">
        <v>389</v>
      </c>
      <c r="E13" s="99" t="s">
        <v>81</v>
      </c>
      <c r="F13" s="100" t="s">
        <v>377</v>
      </c>
    </row>
    <row r="14" ht="34.5" customHeight="1">
      <c r="A14" s="44">
        <v>12.0</v>
      </c>
      <c r="B14" s="45" t="s">
        <v>388</v>
      </c>
      <c r="C14" s="47" t="s">
        <v>368</v>
      </c>
      <c r="D14" s="93" t="s">
        <v>390</v>
      </c>
      <c r="E14" s="46" t="s">
        <v>81</v>
      </c>
      <c r="F14" s="94" t="s">
        <v>391</v>
      </c>
    </row>
    <row r="15" ht="34.5" customHeight="1">
      <c r="A15" s="103">
        <v>13.0</v>
      </c>
      <c r="B15" s="104" t="s">
        <v>392</v>
      </c>
      <c r="C15" s="105" t="s">
        <v>368</v>
      </c>
      <c r="D15" s="106" t="s">
        <v>393</v>
      </c>
      <c r="E15" s="107" t="s">
        <v>56</v>
      </c>
      <c r="F15" s="108" t="s">
        <v>394</v>
      </c>
    </row>
    <row r="16" ht="34.5" customHeight="1">
      <c r="A16" s="103">
        <v>14.0</v>
      </c>
      <c r="B16" s="104" t="s">
        <v>395</v>
      </c>
      <c r="C16" s="105" t="s">
        <v>368</v>
      </c>
      <c r="D16" s="106" t="s">
        <v>396</v>
      </c>
      <c r="E16" s="107" t="s">
        <v>95</v>
      </c>
      <c r="F16" s="108" t="s">
        <v>397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F3:F16">
    <cfRule type="containsText" dxfId="0" priority="1" stopIfTrue="1" operator="containsText" text="Baseline">
      <formula>NOT(ISERROR(SEARCH(("Baseline"),(F3))))</formula>
    </cfRule>
  </conditionalFormatting>
  <conditionalFormatting sqref="F3:F16">
    <cfRule type="containsText" dxfId="1" priority="2" stopIfTrue="1" operator="containsText" text="Đã thống nhất">
      <formula>NOT(ISERROR(SEARCH(("Đã thống nhất"),(F3))))</formula>
    </cfRule>
  </conditionalFormatting>
  <hyperlinks>
    <hyperlink display="Hero" location="Hero!A1" ref="B3"/>
    <hyperlink display="Hero" location="Hero!A1" ref="E3"/>
    <hyperlink display="Hero" location="Hero!A1" ref="B4"/>
    <hyperlink display="Hero" location="Hero!A1" ref="E4"/>
    <hyperlink display="Weapons" location="Weapons!A1" ref="B5"/>
    <hyperlink display="Weapons" location="Weapons!A1" ref="E5"/>
    <hyperlink display="Weapons" location="Weapons!A1" ref="B6"/>
    <hyperlink display="Weapons" location="Weapons!A1" ref="E6"/>
    <hyperlink display="Equipments" location="Equipments!A1" ref="B7"/>
    <hyperlink display="Equipments" location="Equipments!A1" ref="E7"/>
    <hyperlink display="Equipments" location="Equipments!A1" ref="B8"/>
    <hyperlink display="Equipments" location="Equipments!A1" ref="E8"/>
    <hyperlink display="ITEM LIST" location="'ITEM LIST'!A1" ref="E9"/>
    <hyperlink display="ECONOMIC" location="ECONOMIC!A1" ref="E10"/>
    <hyperlink display="Obstacles" location="Obstacles!A1" ref="E11"/>
    <hyperlink display="Obstacles" location="Obstacles!A1" ref="E12"/>
    <hyperlink display="MAP DESIGN" location="'MAP DESIGN'!A1" ref="E13"/>
    <hyperlink display="MAP DESIGN" location="'MAP DESIGN'!A1" ref="E14"/>
    <hyperlink display="PROCESSING" location="PROCESSING!A1" ref="E15"/>
    <hyperlink display="Hero" location="Hero!A1" ref="E16"/>
  </hyperlinks>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71"/>
    <col customWidth="1" min="2" max="2" width="20.71"/>
    <col customWidth="1" min="3" max="3" width="21.57"/>
    <col customWidth="1" min="4" max="4" width="66.57"/>
    <col customWidth="1" min="5" max="5" width="24.43"/>
    <col customWidth="1" min="6" max="6" width="22.29"/>
    <col customWidth="1" min="7" max="26" width="8.71"/>
  </cols>
  <sheetData>
    <row r="1" ht="31.5" customHeight="1">
      <c r="A1" s="29" t="s">
        <v>95</v>
      </c>
    </row>
    <row r="2" ht="25.5" customHeight="1">
      <c r="A2" s="30" t="s">
        <v>47</v>
      </c>
      <c r="B2" s="31" t="s">
        <v>360</v>
      </c>
      <c r="C2" s="31" t="s">
        <v>361</v>
      </c>
      <c r="D2" s="31" t="s">
        <v>362</v>
      </c>
      <c r="E2" s="31" t="s">
        <v>363</v>
      </c>
      <c r="F2" s="32" t="s">
        <v>364</v>
      </c>
    </row>
    <row r="3" ht="34.5" customHeight="1">
      <c r="A3" s="33">
        <v>1.0</v>
      </c>
      <c r="B3" s="89" t="s">
        <v>95</v>
      </c>
      <c r="C3" s="36" t="s">
        <v>365</v>
      </c>
      <c r="D3" s="90" t="s">
        <v>398</v>
      </c>
      <c r="E3" s="35" t="s">
        <v>53</v>
      </c>
      <c r="F3" s="91" t="s">
        <v>367</v>
      </c>
    </row>
    <row r="4" ht="34.5" customHeight="1">
      <c r="A4" s="33">
        <v>2.0</v>
      </c>
      <c r="B4" s="89" t="s">
        <v>95</v>
      </c>
      <c r="C4" s="36" t="s">
        <v>399</v>
      </c>
      <c r="D4" s="90" t="s">
        <v>400</v>
      </c>
      <c r="E4" s="35" t="s">
        <v>401</v>
      </c>
      <c r="F4" s="109" t="s">
        <v>379</v>
      </c>
    </row>
    <row r="5" ht="34.5" customHeight="1">
      <c r="A5" s="33">
        <v>3.0</v>
      </c>
      <c r="B5" s="89" t="s">
        <v>95</v>
      </c>
      <c r="C5" s="36" t="s">
        <v>402</v>
      </c>
      <c r="D5" s="90" t="s">
        <v>403</v>
      </c>
      <c r="E5" s="35" t="s">
        <v>80</v>
      </c>
      <c r="F5" s="91" t="s">
        <v>377</v>
      </c>
    </row>
    <row r="6" ht="34.5" customHeight="1">
      <c r="A6" s="33">
        <v>4.0</v>
      </c>
      <c r="B6" s="89" t="s">
        <v>95</v>
      </c>
      <c r="C6" s="36" t="s">
        <v>404</v>
      </c>
      <c r="D6" s="90" t="s">
        <v>405</v>
      </c>
      <c r="E6" s="35" t="s">
        <v>401</v>
      </c>
      <c r="F6" s="91" t="s">
        <v>406</v>
      </c>
    </row>
    <row r="7" ht="30.0" customHeight="1">
      <c r="A7" s="33">
        <v>5.0</v>
      </c>
      <c r="B7" s="89" t="s">
        <v>95</v>
      </c>
      <c r="C7" s="36" t="s">
        <v>407</v>
      </c>
      <c r="D7" s="90" t="s">
        <v>408</v>
      </c>
      <c r="E7" s="35" t="s">
        <v>64</v>
      </c>
      <c r="F7" s="91" t="s">
        <v>394</v>
      </c>
    </row>
    <row r="8" ht="34.5" customHeight="1">
      <c r="A8" s="33">
        <v>6.0</v>
      </c>
      <c r="B8" s="34" t="s">
        <v>409</v>
      </c>
      <c r="C8" s="36" t="s">
        <v>410</v>
      </c>
      <c r="D8" s="90" t="s">
        <v>411</v>
      </c>
      <c r="E8" s="35" t="s">
        <v>46</v>
      </c>
      <c r="F8" s="109" t="s">
        <v>379</v>
      </c>
    </row>
    <row r="9" ht="34.5" customHeight="1">
      <c r="A9" s="33">
        <v>7.0</v>
      </c>
      <c r="B9" s="34" t="s">
        <v>409</v>
      </c>
      <c r="C9" s="36" t="s">
        <v>412</v>
      </c>
      <c r="D9" s="90" t="s">
        <v>413</v>
      </c>
      <c r="E9" s="35" t="s">
        <v>80</v>
      </c>
      <c r="F9" s="91" t="s">
        <v>414</v>
      </c>
    </row>
    <row r="10" ht="34.5" customHeight="1">
      <c r="A10" s="33">
        <v>8.0</v>
      </c>
      <c r="B10" s="34" t="s">
        <v>409</v>
      </c>
      <c r="C10" s="36" t="s">
        <v>415</v>
      </c>
      <c r="D10" s="90" t="s">
        <v>416</v>
      </c>
      <c r="E10" s="35" t="s">
        <v>46</v>
      </c>
      <c r="F10" s="109" t="s">
        <v>379</v>
      </c>
    </row>
    <row r="11" ht="34.5" customHeight="1">
      <c r="A11" s="33">
        <v>9.0</v>
      </c>
      <c r="B11" s="34" t="s">
        <v>409</v>
      </c>
      <c r="C11" s="36" t="s">
        <v>417</v>
      </c>
      <c r="D11" s="90" t="s">
        <v>418</v>
      </c>
      <c r="E11" s="35" t="s">
        <v>375</v>
      </c>
      <c r="F11" s="109" t="s">
        <v>419</v>
      </c>
    </row>
    <row r="12" ht="34.5" customHeight="1">
      <c r="A12" s="33">
        <v>10.0</v>
      </c>
      <c r="B12" s="34" t="s">
        <v>409</v>
      </c>
      <c r="C12" s="36" t="s">
        <v>420</v>
      </c>
      <c r="D12" s="90" t="s">
        <v>421</v>
      </c>
      <c r="E12" s="35" t="s">
        <v>77</v>
      </c>
      <c r="F12" s="91" t="s">
        <v>422</v>
      </c>
    </row>
    <row r="13" ht="34.5" customHeight="1">
      <c r="A13" s="33">
        <v>11.0</v>
      </c>
      <c r="B13" s="89" t="s">
        <v>95</v>
      </c>
      <c r="C13" s="36" t="s">
        <v>423</v>
      </c>
      <c r="D13" s="90" t="s">
        <v>424</v>
      </c>
      <c r="E13" s="35" t="s">
        <v>375</v>
      </c>
      <c r="F13" s="109" t="s">
        <v>379</v>
      </c>
    </row>
    <row r="14" ht="34.5" customHeight="1">
      <c r="A14" s="33">
        <v>12.0</v>
      </c>
      <c r="B14" s="89" t="s">
        <v>95</v>
      </c>
      <c r="C14" s="36" t="s">
        <v>425</v>
      </c>
      <c r="D14" s="90" t="s">
        <v>426</v>
      </c>
      <c r="E14" s="35" t="s">
        <v>375</v>
      </c>
      <c r="F14" s="91" t="s">
        <v>427</v>
      </c>
    </row>
    <row r="15" ht="34.5" customHeight="1">
      <c r="A15" s="33">
        <v>13.0</v>
      </c>
      <c r="B15" s="89" t="s">
        <v>95</v>
      </c>
      <c r="C15" s="36" t="s">
        <v>428</v>
      </c>
      <c r="D15" s="90" t="s">
        <v>429</v>
      </c>
      <c r="E15" s="35" t="s">
        <v>81</v>
      </c>
      <c r="F15" s="91" t="s">
        <v>430</v>
      </c>
    </row>
    <row r="16" ht="34.5" customHeight="1">
      <c r="A16" s="33">
        <v>14.0</v>
      </c>
      <c r="B16" s="89" t="s">
        <v>95</v>
      </c>
      <c r="C16" s="36" t="s">
        <v>431</v>
      </c>
      <c r="D16" s="90" t="s">
        <v>432</v>
      </c>
      <c r="E16" s="35" t="s">
        <v>401</v>
      </c>
      <c r="F16" s="91" t="s">
        <v>394</v>
      </c>
    </row>
    <row r="17" ht="34.5" customHeight="1">
      <c r="A17" s="44">
        <v>15.0</v>
      </c>
      <c r="B17" s="92" t="s">
        <v>95</v>
      </c>
      <c r="C17" s="47" t="s">
        <v>433</v>
      </c>
      <c r="D17" s="93" t="s">
        <v>434</v>
      </c>
      <c r="E17" s="46" t="s">
        <v>435</v>
      </c>
      <c r="F17" s="94" t="s">
        <v>397</v>
      </c>
    </row>
    <row r="18" ht="30.0" customHeight="1"/>
    <row r="21" ht="15.75" customHeight="1"/>
    <row r="22" ht="15.75" customHeight="1"/>
    <row r="23" ht="15.75" customHeight="1"/>
    <row r="24" ht="15.75" customHeight="1"/>
    <row r="25" ht="15.75" customHeight="1"/>
    <row r="26" ht="30.0"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F3:F17">
    <cfRule type="containsText" dxfId="0" priority="1" stopIfTrue="1" operator="containsText" text="Baseline">
      <formula>NOT(ISERROR(SEARCH(("Baseline"),(F3))))</formula>
    </cfRule>
  </conditionalFormatting>
  <conditionalFormatting sqref="F3:F17">
    <cfRule type="containsText" dxfId="1" priority="2" stopIfTrue="1" operator="containsText" text="Đã thống nhất">
      <formula>NOT(ISERROR(SEARCH(("Đã thống nhất"),(F3))))</formula>
    </cfRule>
  </conditionalFormatting>
  <hyperlinks>
    <hyperlink display="Hero" location="Hero!A1" ref="B3"/>
    <hyperlink display="OVERVIEW" location="OVERVIEW!A1" ref="E3"/>
    <hyperlink display="Hero" location="Hero!A1" ref="B4"/>
    <hyperlink display="MATCH DESIGN DATA" location="'MATCH DESIGN DATA'!A1" ref="E4"/>
    <hyperlink display="Hero" location="Hero!A1" ref="B5"/>
    <hyperlink display="Weapons" location="Weapons!A1" ref="E5"/>
    <hyperlink display="Hero" location="Hero!A1" ref="B6"/>
    <hyperlink display="MATCH DESIGN DATA" location="'MATCH DESIGN DATA'!A1" ref="E6"/>
    <hyperlink display="Hero" location="Hero!A1" ref="B7"/>
    <hyperlink display="ITEM LIST" location="'ITEM LIST'!A1" ref="E7"/>
    <hyperlink display="WIREFRAME" location="WIREFRAME!A1" ref="E8"/>
    <hyperlink display="Weapons" location="Weapons!A1" ref="E9"/>
    <hyperlink display="WIREFRAME" location="WIREFRAME!A1" ref="E10"/>
    <hyperlink display="Equipments" location="Equipments!A1" ref="E11"/>
    <hyperlink display="Assets" location="Assets!A1" ref="E12"/>
    <hyperlink display="Hero" location="Hero!A1" ref="B13"/>
    <hyperlink display="Equipments" location="Equipments!A1" ref="E13"/>
    <hyperlink display="Hero" location="Hero!A1" ref="B14"/>
    <hyperlink display="Equipments" location="Equipments!A1" ref="E14"/>
    <hyperlink display="Hero" location="Hero!A1" ref="B15"/>
    <hyperlink display="MAP DESIGN" location="'MAP DESIGN'!A1" ref="E15"/>
    <hyperlink display="Hero" location="Hero!A1" ref="B16"/>
    <hyperlink display="MATCH DESIGN DATA" location="'MATCH DESIGN DATA'!A1" ref="E16"/>
    <hyperlink display="Hero" location="Hero!A1" ref="B17"/>
    <hyperlink display="TEST &amp; BALANCE" location="'TEST &amp; BALANCE'!A1" ref="E17"/>
  </hyperlinks>
  <printOptions/>
  <pageMargins bottom="1.0" footer="0.0" header="0.0" left="0.75" right="0.75" top="1.0"/>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43"/>
    <col customWidth="1" min="2" max="2" width="18.0"/>
    <col customWidth="1" min="3" max="3" width="21.57"/>
    <col customWidth="1" min="4" max="4" width="13.0"/>
    <col customWidth="1" min="5" max="6" width="33.0"/>
    <col customWidth="1" min="7" max="7" width="20.14"/>
    <col customWidth="1" min="8" max="8" width="23.0"/>
    <col customWidth="1" min="9" max="9" width="12.0"/>
    <col customWidth="1" min="10" max="11" width="11.0"/>
    <col customWidth="1" min="12" max="12" width="34.0"/>
    <col customWidth="1" min="13" max="13" width="26.0"/>
    <col customWidth="1" min="14" max="26" width="8.71"/>
  </cols>
  <sheetData>
    <row r="1" ht="31.5" customHeight="1">
      <c r="A1" s="29" t="s">
        <v>80</v>
      </c>
    </row>
    <row r="2" ht="39.0" customHeight="1">
      <c r="A2" s="30" t="s">
        <v>47</v>
      </c>
      <c r="B2" s="31" t="s">
        <v>436</v>
      </c>
      <c r="C2" s="31" t="s">
        <v>437</v>
      </c>
      <c r="D2" s="31" t="s">
        <v>438</v>
      </c>
      <c r="E2" s="31" t="s">
        <v>439</v>
      </c>
      <c r="F2" s="31" t="s">
        <v>440</v>
      </c>
      <c r="G2" s="31" t="s">
        <v>441</v>
      </c>
      <c r="H2" s="32" t="s">
        <v>364</v>
      </c>
    </row>
    <row r="3" ht="34.5" customHeight="1">
      <c r="A3" s="33">
        <v>1.0</v>
      </c>
      <c r="B3" s="34" t="s">
        <v>442</v>
      </c>
      <c r="C3" s="36" t="s">
        <v>443</v>
      </c>
      <c r="D3" s="36" t="s">
        <v>444</v>
      </c>
      <c r="E3" s="90" t="s">
        <v>445</v>
      </c>
      <c r="F3" s="90" t="s">
        <v>446</v>
      </c>
      <c r="G3" s="36" t="s">
        <v>447</v>
      </c>
      <c r="H3" s="109" t="s">
        <v>379</v>
      </c>
    </row>
    <row r="4" ht="34.5" customHeight="1">
      <c r="A4" s="33">
        <v>2.0</v>
      </c>
      <c r="B4" s="34" t="s">
        <v>448</v>
      </c>
      <c r="C4" s="36" t="s">
        <v>449</v>
      </c>
      <c r="D4" s="36" t="s">
        <v>444</v>
      </c>
      <c r="E4" s="90" t="s">
        <v>450</v>
      </c>
      <c r="F4" s="90" t="s">
        <v>451</v>
      </c>
      <c r="G4" s="36" t="s">
        <v>452</v>
      </c>
      <c r="H4" s="109" t="s">
        <v>379</v>
      </c>
    </row>
    <row r="5" ht="34.5" customHeight="1">
      <c r="A5" s="33">
        <v>3.0</v>
      </c>
      <c r="B5" s="34" t="s">
        <v>453</v>
      </c>
      <c r="C5" s="36" t="s">
        <v>454</v>
      </c>
      <c r="D5" s="36" t="s">
        <v>444</v>
      </c>
      <c r="E5" s="90" t="s">
        <v>455</v>
      </c>
      <c r="F5" s="90" t="s">
        <v>456</v>
      </c>
      <c r="G5" s="36" t="s">
        <v>452</v>
      </c>
      <c r="H5" s="109" t="s">
        <v>379</v>
      </c>
    </row>
    <row r="6" ht="34.5" customHeight="1">
      <c r="A6" s="33">
        <v>4.0</v>
      </c>
      <c r="B6" s="34" t="s">
        <v>457</v>
      </c>
      <c r="C6" s="36" t="s">
        <v>458</v>
      </c>
      <c r="D6" s="36" t="s">
        <v>444</v>
      </c>
      <c r="E6" s="90" t="s">
        <v>459</v>
      </c>
      <c r="F6" s="90" t="s">
        <v>460</v>
      </c>
      <c r="G6" s="36" t="s">
        <v>452</v>
      </c>
      <c r="H6" s="109" t="s">
        <v>379</v>
      </c>
    </row>
    <row r="7" ht="34.5" customHeight="1">
      <c r="A7" s="33">
        <v>5.0</v>
      </c>
      <c r="B7" s="34" t="s">
        <v>461</v>
      </c>
      <c r="C7" s="36" t="s">
        <v>462</v>
      </c>
      <c r="D7" s="36" t="s">
        <v>444</v>
      </c>
      <c r="E7" s="90" t="s">
        <v>463</v>
      </c>
      <c r="F7" s="90" t="s">
        <v>464</v>
      </c>
      <c r="G7" s="36" t="s">
        <v>452</v>
      </c>
      <c r="H7" s="109" t="s">
        <v>379</v>
      </c>
    </row>
    <row r="8" ht="34.5" customHeight="1">
      <c r="A8" s="44">
        <v>6.0</v>
      </c>
      <c r="B8" s="45" t="s">
        <v>465</v>
      </c>
      <c r="C8" s="47" t="s">
        <v>466</v>
      </c>
      <c r="D8" s="47" t="s">
        <v>444</v>
      </c>
      <c r="E8" s="93" t="s">
        <v>467</v>
      </c>
      <c r="F8" s="93" t="s">
        <v>468</v>
      </c>
      <c r="G8" s="47" t="s">
        <v>469</v>
      </c>
      <c r="H8" s="101" t="s">
        <v>379</v>
      </c>
    </row>
    <row r="9" ht="34.5" customHeight="1">
      <c r="A9" s="95">
        <v>7.0</v>
      </c>
      <c r="B9" s="102" t="s">
        <v>470</v>
      </c>
      <c r="C9" s="97" t="s">
        <v>471</v>
      </c>
      <c r="D9" s="97" t="s">
        <v>472</v>
      </c>
      <c r="E9" s="98" t="s">
        <v>473</v>
      </c>
      <c r="F9" s="98" t="s">
        <v>474</v>
      </c>
      <c r="G9" s="97" t="s">
        <v>475</v>
      </c>
      <c r="H9" s="100" t="s">
        <v>476</v>
      </c>
    </row>
    <row r="10" ht="34.5" customHeight="1">
      <c r="A10" s="33">
        <v>8.0</v>
      </c>
      <c r="B10" s="34" t="s">
        <v>477</v>
      </c>
      <c r="C10" s="36" t="s">
        <v>478</v>
      </c>
      <c r="D10" s="36" t="s">
        <v>472</v>
      </c>
      <c r="E10" s="90" t="s">
        <v>479</v>
      </c>
      <c r="F10" s="90" t="s">
        <v>480</v>
      </c>
      <c r="G10" s="36" t="s">
        <v>452</v>
      </c>
      <c r="H10" s="91" t="s">
        <v>476</v>
      </c>
    </row>
    <row r="11" ht="34.5" customHeight="1">
      <c r="A11" s="33">
        <v>9.0</v>
      </c>
      <c r="B11" s="34" t="s">
        <v>481</v>
      </c>
      <c r="C11" s="36" t="s">
        <v>482</v>
      </c>
      <c r="D11" s="36" t="s">
        <v>472</v>
      </c>
      <c r="E11" s="90" t="s">
        <v>483</v>
      </c>
      <c r="F11" s="90" t="s">
        <v>484</v>
      </c>
      <c r="G11" s="36" t="s">
        <v>485</v>
      </c>
      <c r="H11" s="91" t="s">
        <v>476</v>
      </c>
    </row>
    <row r="12" ht="47.25" customHeight="1">
      <c r="A12" s="44">
        <v>10.0</v>
      </c>
      <c r="B12" s="45" t="s">
        <v>486</v>
      </c>
      <c r="C12" s="47" t="s">
        <v>487</v>
      </c>
      <c r="D12" s="47" t="s">
        <v>472</v>
      </c>
      <c r="E12" s="93" t="s">
        <v>488</v>
      </c>
      <c r="F12" s="93" t="s">
        <v>489</v>
      </c>
      <c r="G12" s="47" t="s">
        <v>490</v>
      </c>
      <c r="H12" s="94" t="s">
        <v>476</v>
      </c>
    </row>
    <row r="13" ht="34.5" customHeight="1">
      <c r="A13" s="95">
        <v>11.0</v>
      </c>
      <c r="B13" s="102" t="s">
        <v>491</v>
      </c>
      <c r="C13" s="97" t="s">
        <v>492</v>
      </c>
      <c r="D13" s="97" t="s">
        <v>493</v>
      </c>
      <c r="E13" s="98" t="s">
        <v>494</v>
      </c>
      <c r="F13" s="98" t="s">
        <v>495</v>
      </c>
      <c r="G13" s="97" t="s">
        <v>452</v>
      </c>
      <c r="H13" s="110" t="s">
        <v>379</v>
      </c>
    </row>
    <row r="14" ht="34.5" customHeight="1">
      <c r="A14" s="33">
        <v>12.0</v>
      </c>
      <c r="B14" s="34" t="s">
        <v>496</v>
      </c>
      <c r="C14" s="36" t="s">
        <v>497</v>
      </c>
      <c r="D14" s="36" t="s">
        <v>493</v>
      </c>
      <c r="E14" s="90" t="s">
        <v>498</v>
      </c>
      <c r="F14" s="90" t="s">
        <v>499</v>
      </c>
      <c r="G14" s="36" t="s">
        <v>485</v>
      </c>
      <c r="H14" s="109" t="s">
        <v>379</v>
      </c>
    </row>
    <row r="15" ht="34.5" customHeight="1">
      <c r="A15" s="33">
        <v>13.0</v>
      </c>
      <c r="B15" s="34" t="s">
        <v>500</v>
      </c>
      <c r="C15" s="36" t="s">
        <v>501</v>
      </c>
      <c r="D15" s="36" t="s">
        <v>493</v>
      </c>
      <c r="E15" s="90" t="s">
        <v>502</v>
      </c>
      <c r="F15" s="90" t="s">
        <v>503</v>
      </c>
      <c r="G15" s="36" t="s">
        <v>485</v>
      </c>
      <c r="H15" s="109" t="s">
        <v>379</v>
      </c>
    </row>
    <row r="16" ht="34.5" customHeight="1">
      <c r="A16" s="33">
        <v>14.0</v>
      </c>
      <c r="B16" s="34" t="s">
        <v>504</v>
      </c>
      <c r="C16" s="36" t="s">
        <v>505</v>
      </c>
      <c r="D16" s="36" t="s">
        <v>493</v>
      </c>
      <c r="E16" s="111" t="s">
        <v>506</v>
      </c>
      <c r="F16" s="90" t="s">
        <v>507</v>
      </c>
      <c r="G16" s="36" t="s">
        <v>508</v>
      </c>
      <c r="H16" s="109" t="s">
        <v>379</v>
      </c>
    </row>
    <row r="17" ht="34.5" customHeight="1">
      <c r="A17" s="44">
        <v>15.0</v>
      </c>
      <c r="B17" s="45" t="s">
        <v>509</v>
      </c>
      <c r="C17" s="47" t="s">
        <v>510</v>
      </c>
      <c r="D17" s="47" t="s">
        <v>493</v>
      </c>
      <c r="E17" s="93" t="s">
        <v>511</v>
      </c>
      <c r="F17" s="93" t="s">
        <v>512</v>
      </c>
      <c r="G17" s="47" t="s">
        <v>485</v>
      </c>
      <c r="H17" s="101" t="s">
        <v>379</v>
      </c>
    </row>
    <row r="18" ht="34.5" customHeight="1">
      <c r="A18" s="95">
        <v>16.0</v>
      </c>
      <c r="B18" s="102" t="s">
        <v>513</v>
      </c>
      <c r="C18" s="97" t="s">
        <v>514</v>
      </c>
      <c r="D18" s="97" t="s">
        <v>515</v>
      </c>
      <c r="E18" s="98" t="s">
        <v>516</v>
      </c>
      <c r="F18" s="98" t="s">
        <v>517</v>
      </c>
      <c r="G18" s="97" t="s">
        <v>518</v>
      </c>
      <c r="H18" s="110" t="s">
        <v>379</v>
      </c>
    </row>
    <row r="19" ht="34.5" customHeight="1">
      <c r="A19" s="33">
        <v>17.0</v>
      </c>
      <c r="B19" s="34" t="s">
        <v>519</v>
      </c>
      <c r="C19" s="36" t="s">
        <v>520</v>
      </c>
      <c r="D19" s="36" t="s">
        <v>515</v>
      </c>
      <c r="E19" s="90" t="s">
        <v>521</v>
      </c>
      <c r="F19" s="90" t="s">
        <v>522</v>
      </c>
      <c r="G19" s="36" t="s">
        <v>523</v>
      </c>
      <c r="H19" s="109" t="s">
        <v>379</v>
      </c>
    </row>
    <row r="20" ht="34.5" customHeight="1">
      <c r="A20" s="44">
        <v>18.0</v>
      </c>
      <c r="B20" s="45" t="s">
        <v>524</v>
      </c>
      <c r="C20" s="47" t="s">
        <v>525</v>
      </c>
      <c r="D20" s="47" t="s">
        <v>515</v>
      </c>
      <c r="E20" s="93" t="s">
        <v>526</v>
      </c>
      <c r="F20" s="93" t="s">
        <v>527</v>
      </c>
      <c r="G20" s="47" t="s">
        <v>518</v>
      </c>
      <c r="H20" s="101" t="s">
        <v>379</v>
      </c>
    </row>
    <row r="21" ht="15.75" customHeight="1"/>
    <row r="22" ht="15.75" customHeight="1"/>
    <row r="23" ht="15.75" customHeight="1"/>
    <row r="24" ht="15.75" customHeight="1"/>
    <row r="25" ht="15.75" customHeight="1"/>
    <row r="26" ht="15.75" customHeight="1"/>
    <row r="27" ht="19.5" customHeight="1"/>
    <row r="28" ht="30.0" customHeight="1"/>
    <row r="29" ht="15.75" customHeight="1"/>
    <row r="30" ht="15.75" customHeight="1"/>
    <row r="31" ht="15.75" customHeight="1"/>
    <row r="32" ht="15.75" customHeight="1"/>
    <row r="33" ht="19.5" customHeight="1"/>
    <row r="34" ht="30.0" customHeight="1"/>
    <row r="35" ht="15.75" customHeight="1"/>
    <row r="36" ht="15.75" customHeight="1"/>
    <row r="37" ht="15.75" customHeight="1"/>
    <row r="38" ht="15.75" customHeight="1"/>
    <row r="39" ht="15.75" customHeight="1"/>
    <row r="40" ht="15.75" customHeight="1"/>
    <row r="41" ht="15.75" customHeight="1"/>
    <row r="42" ht="15.75" customHeight="1"/>
    <row r="43" ht="30.0"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conditionalFormatting sqref="H3:H20">
    <cfRule type="containsText" dxfId="0" priority="1" stopIfTrue="1" operator="containsText" text="Baseline">
      <formula>NOT(ISERROR(SEARCH(("Baseline"),(H3))))</formula>
    </cfRule>
  </conditionalFormatting>
  <conditionalFormatting sqref="H3:H20">
    <cfRule type="containsText" dxfId="1" priority="2" stopIfTrue="1" operator="containsText" text="Đã thống nhất">
      <formula>NOT(ISERROR(SEARCH(("Đã thống nhất"),(H3))))</formula>
    </cfRule>
  </conditionalFormatting>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43"/>
    <col customWidth="1" min="2" max="2" width="18.0"/>
    <col customWidth="1" min="3" max="3" width="21.57"/>
    <col customWidth="1" min="4" max="4" width="13.0"/>
    <col customWidth="1" min="5" max="5" width="37.29"/>
    <col customWidth="1" min="6" max="6" width="15.14"/>
    <col customWidth="1" min="7" max="8" width="21.57"/>
    <col customWidth="1" min="9" max="9" width="46.0"/>
    <col customWidth="1" min="10" max="10" width="24.0"/>
    <col customWidth="1" min="11" max="26" width="8.71"/>
  </cols>
  <sheetData>
    <row r="1" ht="31.5" customHeight="1">
      <c r="A1" s="29" t="s">
        <v>375</v>
      </c>
    </row>
    <row r="2" ht="39.0" customHeight="1">
      <c r="A2" s="30" t="s">
        <v>47</v>
      </c>
      <c r="B2" s="31" t="s">
        <v>436</v>
      </c>
      <c r="C2" s="31" t="s">
        <v>437</v>
      </c>
      <c r="D2" s="31" t="s">
        <v>528</v>
      </c>
      <c r="E2" s="31" t="s">
        <v>529</v>
      </c>
      <c r="F2" s="31" t="s">
        <v>530</v>
      </c>
      <c r="G2" s="31" t="s">
        <v>441</v>
      </c>
      <c r="H2" s="32" t="s">
        <v>364</v>
      </c>
    </row>
    <row r="3" ht="34.5" customHeight="1">
      <c r="A3" s="33">
        <v>1.0</v>
      </c>
      <c r="B3" s="34" t="s">
        <v>531</v>
      </c>
      <c r="C3" s="36" t="s">
        <v>532</v>
      </c>
      <c r="D3" s="36" t="s">
        <v>533</v>
      </c>
      <c r="E3" s="90" t="s">
        <v>534</v>
      </c>
      <c r="F3" s="36">
        <v>1.0</v>
      </c>
      <c r="G3" s="36" t="s">
        <v>535</v>
      </c>
      <c r="H3" s="109" t="s">
        <v>379</v>
      </c>
    </row>
    <row r="4" ht="34.5" customHeight="1">
      <c r="A4" s="33">
        <v>2.0</v>
      </c>
      <c r="B4" s="34" t="s">
        <v>536</v>
      </c>
      <c r="C4" s="36" t="s">
        <v>537</v>
      </c>
      <c r="D4" s="36" t="s">
        <v>533</v>
      </c>
      <c r="E4" s="90" t="s">
        <v>538</v>
      </c>
      <c r="F4" s="36">
        <v>1.0</v>
      </c>
      <c r="G4" s="36" t="s">
        <v>452</v>
      </c>
      <c r="H4" s="109" t="s">
        <v>379</v>
      </c>
    </row>
    <row r="5" ht="34.5" customHeight="1">
      <c r="A5" s="44">
        <v>3.0</v>
      </c>
      <c r="B5" s="45" t="s">
        <v>539</v>
      </c>
      <c r="C5" s="47" t="s">
        <v>540</v>
      </c>
      <c r="D5" s="47" t="s">
        <v>533</v>
      </c>
      <c r="E5" s="93" t="s">
        <v>541</v>
      </c>
      <c r="F5" s="47">
        <v>1.0</v>
      </c>
      <c r="G5" s="47" t="s">
        <v>518</v>
      </c>
      <c r="H5" s="101" t="s">
        <v>379</v>
      </c>
    </row>
    <row r="6" ht="34.5" customHeight="1">
      <c r="A6" s="95">
        <v>4.0</v>
      </c>
      <c r="B6" s="102" t="s">
        <v>542</v>
      </c>
      <c r="C6" s="97" t="s">
        <v>543</v>
      </c>
      <c r="D6" s="97" t="s">
        <v>544</v>
      </c>
      <c r="E6" s="98" t="s">
        <v>538</v>
      </c>
      <c r="F6" s="97">
        <v>1.0</v>
      </c>
      <c r="G6" s="97" t="s">
        <v>545</v>
      </c>
      <c r="H6" s="110" t="s">
        <v>379</v>
      </c>
    </row>
    <row r="7" ht="34.5" customHeight="1">
      <c r="A7" s="33">
        <v>5.0</v>
      </c>
      <c r="B7" s="34" t="s">
        <v>546</v>
      </c>
      <c r="C7" s="36" t="s">
        <v>547</v>
      </c>
      <c r="D7" s="36" t="s">
        <v>544</v>
      </c>
      <c r="E7" s="90" t="s">
        <v>548</v>
      </c>
      <c r="F7" s="36">
        <v>1.0</v>
      </c>
      <c r="G7" s="36" t="s">
        <v>549</v>
      </c>
      <c r="H7" s="109" t="s">
        <v>379</v>
      </c>
    </row>
    <row r="8" ht="34.5" customHeight="1">
      <c r="A8" s="44">
        <v>6.0</v>
      </c>
      <c r="B8" s="45" t="s">
        <v>550</v>
      </c>
      <c r="C8" s="47" t="s">
        <v>551</v>
      </c>
      <c r="D8" s="47" t="s">
        <v>544</v>
      </c>
      <c r="E8" s="93" t="s">
        <v>552</v>
      </c>
      <c r="F8" s="47">
        <v>1.0</v>
      </c>
      <c r="G8" s="47" t="s">
        <v>523</v>
      </c>
      <c r="H8" s="101" t="s">
        <v>379</v>
      </c>
    </row>
    <row r="9" ht="47.25" customHeight="1">
      <c r="A9" s="95">
        <v>7.0</v>
      </c>
      <c r="B9" s="102" t="s">
        <v>553</v>
      </c>
      <c r="C9" s="97" t="s">
        <v>554</v>
      </c>
      <c r="D9" s="97" t="s">
        <v>555</v>
      </c>
      <c r="E9" s="98" t="s">
        <v>556</v>
      </c>
      <c r="F9" s="97">
        <v>6.0</v>
      </c>
      <c r="G9" s="97" t="s">
        <v>452</v>
      </c>
      <c r="H9" s="110" t="s">
        <v>379</v>
      </c>
    </row>
    <row r="10" ht="34.5" customHeight="1">
      <c r="A10" s="33">
        <v>8.0</v>
      </c>
      <c r="B10" s="34" t="s">
        <v>557</v>
      </c>
      <c r="C10" s="36" t="s">
        <v>558</v>
      </c>
      <c r="D10" s="36" t="s">
        <v>555</v>
      </c>
      <c r="E10" s="90" t="s">
        <v>559</v>
      </c>
      <c r="F10" s="36">
        <v>5.0</v>
      </c>
      <c r="G10" s="36" t="s">
        <v>485</v>
      </c>
      <c r="H10" s="109" t="s">
        <v>379</v>
      </c>
    </row>
    <row r="11" ht="34.5" customHeight="1">
      <c r="A11" s="33">
        <v>9.0</v>
      </c>
      <c r="B11" s="34" t="s">
        <v>560</v>
      </c>
      <c r="C11" s="36" t="s">
        <v>561</v>
      </c>
      <c r="D11" s="36" t="s">
        <v>555</v>
      </c>
      <c r="E11" s="90" t="s">
        <v>562</v>
      </c>
      <c r="F11" s="36">
        <v>4.0</v>
      </c>
      <c r="G11" s="36" t="s">
        <v>508</v>
      </c>
      <c r="H11" s="109" t="s">
        <v>379</v>
      </c>
    </row>
    <row r="12" ht="34.5" customHeight="1">
      <c r="A12" s="33">
        <v>10.0</v>
      </c>
      <c r="B12" s="34" t="s">
        <v>563</v>
      </c>
      <c r="C12" s="36" t="s">
        <v>564</v>
      </c>
      <c r="D12" s="36" t="s">
        <v>555</v>
      </c>
      <c r="E12" s="90" t="s">
        <v>565</v>
      </c>
      <c r="F12" s="36">
        <v>3.0</v>
      </c>
      <c r="G12" s="36" t="s">
        <v>523</v>
      </c>
      <c r="H12" s="109" t="s">
        <v>379</v>
      </c>
    </row>
    <row r="13" ht="47.25" customHeight="1">
      <c r="A13" s="44">
        <v>11.0</v>
      </c>
      <c r="B13" s="45" t="s">
        <v>566</v>
      </c>
      <c r="C13" s="47" t="s">
        <v>567</v>
      </c>
      <c r="D13" s="47" t="s">
        <v>555</v>
      </c>
      <c r="E13" s="93" t="s">
        <v>568</v>
      </c>
      <c r="F13" s="47">
        <v>2.0</v>
      </c>
      <c r="G13" s="47" t="s">
        <v>569</v>
      </c>
      <c r="H13" s="101" t="s">
        <v>379</v>
      </c>
    </row>
    <row r="14" ht="85.5" customHeight="1">
      <c r="A14" s="95">
        <v>12.0</v>
      </c>
      <c r="B14" s="102" t="s">
        <v>570</v>
      </c>
      <c r="C14" s="97" t="s">
        <v>571</v>
      </c>
      <c r="D14" s="97" t="s">
        <v>572</v>
      </c>
      <c r="E14" s="98" t="s">
        <v>573</v>
      </c>
      <c r="F14" s="97">
        <v>4.0</v>
      </c>
      <c r="G14" s="97" t="s">
        <v>518</v>
      </c>
      <c r="H14" s="110" t="s">
        <v>379</v>
      </c>
    </row>
    <row r="15" ht="60.0" customHeight="1">
      <c r="A15" s="33">
        <v>13.0</v>
      </c>
      <c r="B15" s="34" t="s">
        <v>574</v>
      </c>
      <c r="C15" s="36" t="s">
        <v>575</v>
      </c>
      <c r="D15" s="36" t="s">
        <v>572</v>
      </c>
      <c r="E15" s="90" t="s">
        <v>576</v>
      </c>
      <c r="F15" s="36">
        <v>2.0</v>
      </c>
      <c r="G15" s="36" t="s">
        <v>569</v>
      </c>
      <c r="H15" s="109" t="s">
        <v>379</v>
      </c>
    </row>
    <row r="16" ht="47.25" customHeight="1">
      <c r="A16" s="44">
        <v>14.0</v>
      </c>
      <c r="B16" s="45" t="s">
        <v>577</v>
      </c>
      <c r="C16" s="47" t="s">
        <v>578</v>
      </c>
      <c r="D16" s="47" t="s">
        <v>572</v>
      </c>
      <c r="E16" s="93" t="s">
        <v>579</v>
      </c>
      <c r="F16" s="47">
        <v>2.0</v>
      </c>
      <c r="G16" s="47" t="s">
        <v>569</v>
      </c>
      <c r="H16" s="101" t="s">
        <v>379</v>
      </c>
    </row>
    <row r="17" ht="72.75" customHeight="1">
      <c r="A17" s="95">
        <v>15.0</v>
      </c>
      <c r="B17" s="102" t="s">
        <v>580</v>
      </c>
      <c r="C17" s="97" t="s">
        <v>581</v>
      </c>
      <c r="D17" s="97" t="s">
        <v>582</v>
      </c>
      <c r="E17" s="98" t="s">
        <v>583</v>
      </c>
      <c r="F17" s="97">
        <v>1.0</v>
      </c>
      <c r="G17" s="97" t="s">
        <v>584</v>
      </c>
      <c r="H17" s="100" t="s">
        <v>585</v>
      </c>
    </row>
    <row r="18" ht="60.0" customHeight="1">
      <c r="A18" s="44">
        <v>16.0</v>
      </c>
      <c r="B18" s="45" t="s">
        <v>586</v>
      </c>
      <c r="C18" s="47" t="s">
        <v>587</v>
      </c>
      <c r="D18" s="47" t="s">
        <v>582</v>
      </c>
      <c r="E18" s="93" t="s">
        <v>588</v>
      </c>
      <c r="F18" s="47">
        <v>1.0</v>
      </c>
      <c r="G18" s="47" t="s">
        <v>584</v>
      </c>
      <c r="H18" s="94" t="s">
        <v>589</v>
      </c>
    </row>
    <row r="21" ht="19.5" customHeight="1"/>
    <row r="22" ht="30.0" customHeight="1"/>
    <row r="23" ht="15.75" customHeight="1"/>
    <row r="24" ht="15.75" customHeight="1"/>
    <row r="25" ht="15.75" customHeight="1"/>
    <row r="26" ht="15.75" customHeight="1"/>
    <row r="27" ht="19.5" customHeight="1"/>
    <row r="28" ht="30.0" customHeight="1"/>
    <row r="29" ht="15.75" customHeight="1"/>
    <row r="30" ht="15.75" customHeight="1"/>
    <row r="31" ht="15.75" customHeight="1"/>
    <row r="32" ht="30.0"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H1"/>
  </mergeCells>
  <conditionalFormatting sqref="H3:H18">
    <cfRule type="containsText" dxfId="0" priority="1" stopIfTrue="1" operator="containsText" text="Baseline">
      <formula>NOT(ISERROR(SEARCH(("Baseline"),(H3))))</formula>
    </cfRule>
  </conditionalFormatting>
  <conditionalFormatting sqref="H3:H18">
    <cfRule type="containsText" dxfId="1" priority="2" stopIfTrue="1" operator="containsText" text="Đã thống nhất">
      <formula>NOT(ISERROR(SEARCH(("Đã thống nhất"),(H3))))</formula>
    </cfRule>
  </conditionalFormatting>
  <printOptions/>
  <pageMargins bottom="1.0" footer="0.0" header="0.0" left="0.75" right="0.75" top="1.0"/>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71"/>
    <col customWidth="1" min="2" max="2" width="20.71"/>
    <col customWidth="1" min="3" max="3" width="21.57"/>
    <col customWidth="1" min="4" max="4" width="66.57"/>
    <col customWidth="1" min="5" max="5" width="24.43"/>
    <col customWidth="1" min="6" max="6" width="22.29"/>
    <col customWidth="1" min="7" max="7" width="10.0"/>
    <col customWidth="1" min="8" max="8" width="14.0"/>
    <col customWidth="1" min="9" max="9" width="44.0"/>
    <col customWidth="1" min="10" max="10" width="22.0"/>
    <col customWidth="1" min="11" max="26" width="8.71"/>
  </cols>
  <sheetData>
    <row r="1" ht="31.5" customHeight="1">
      <c r="A1" s="29" t="s">
        <v>98</v>
      </c>
    </row>
    <row r="2" ht="25.5" customHeight="1">
      <c r="A2" s="30" t="s">
        <v>47</v>
      </c>
      <c r="B2" s="31" t="s">
        <v>360</v>
      </c>
      <c r="C2" s="31" t="s">
        <v>361</v>
      </c>
      <c r="D2" s="31" t="s">
        <v>362</v>
      </c>
      <c r="E2" s="31" t="s">
        <v>363</v>
      </c>
      <c r="F2" s="32" t="s">
        <v>364</v>
      </c>
    </row>
    <row r="3" ht="34.5" customHeight="1">
      <c r="A3" s="33">
        <v>1.0</v>
      </c>
      <c r="B3" s="34" t="s">
        <v>590</v>
      </c>
      <c r="C3" s="36" t="s">
        <v>591</v>
      </c>
      <c r="D3" s="90" t="s">
        <v>592</v>
      </c>
      <c r="E3" s="35" t="s">
        <v>80</v>
      </c>
      <c r="F3" s="109" t="s">
        <v>419</v>
      </c>
    </row>
    <row r="4" ht="47.25" customHeight="1">
      <c r="A4" s="33">
        <v>2.0</v>
      </c>
      <c r="B4" s="34" t="s">
        <v>593</v>
      </c>
      <c r="C4" s="36" t="s">
        <v>594</v>
      </c>
      <c r="D4" s="90" t="s">
        <v>595</v>
      </c>
      <c r="E4" s="35" t="s">
        <v>92</v>
      </c>
      <c r="F4" s="109" t="s">
        <v>379</v>
      </c>
    </row>
    <row r="5" ht="47.25" customHeight="1">
      <c r="A5" s="33">
        <v>3.0</v>
      </c>
      <c r="B5" s="34" t="s">
        <v>596</v>
      </c>
      <c r="C5" s="36" t="s">
        <v>594</v>
      </c>
      <c r="D5" s="90" t="s">
        <v>597</v>
      </c>
      <c r="E5" s="35" t="s">
        <v>92</v>
      </c>
      <c r="F5" s="109" t="s">
        <v>379</v>
      </c>
    </row>
    <row r="6" ht="47.25" customHeight="1">
      <c r="A6" s="33">
        <v>4.0</v>
      </c>
      <c r="B6" s="34" t="s">
        <v>598</v>
      </c>
      <c r="C6" s="36" t="s">
        <v>594</v>
      </c>
      <c r="D6" s="90" t="s">
        <v>599</v>
      </c>
      <c r="E6" s="35" t="s">
        <v>92</v>
      </c>
      <c r="F6" s="109" t="s">
        <v>379</v>
      </c>
    </row>
    <row r="7" ht="34.5" customHeight="1">
      <c r="A7" s="33">
        <v>5.0</v>
      </c>
      <c r="B7" s="34" t="s">
        <v>600</v>
      </c>
      <c r="C7" s="36" t="s">
        <v>594</v>
      </c>
      <c r="D7" s="90" t="s">
        <v>601</v>
      </c>
      <c r="E7" s="35" t="s">
        <v>81</v>
      </c>
      <c r="F7" s="109" t="s">
        <v>379</v>
      </c>
    </row>
    <row r="8" ht="34.5" customHeight="1">
      <c r="A8" s="33">
        <v>6.0</v>
      </c>
      <c r="B8" s="34" t="s">
        <v>602</v>
      </c>
      <c r="C8" s="36" t="s">
        <v>594</v>
      </c>
      <c r="D8" s="90" t="s">
        <v>603</v>
      </c>
      <c r="E8" s="35" t="s">
        <v>81</v>
      </c>
      <c r="F8" s="109" t="s">
        <v>379</v>
      </c>
    </row>
    <row r="9" ht="34.5" customHeight="1">
      <c r="A9" s="33">
        <v>7.0</v>
      </c>
      <c r="B9" s="34" t="s">
        <v>604</v>
      </c>
      <c r="C9" s="36" t="s">
        <v>594</v>
      </c>
      <c r="D9" s="90" t="s">
        <v>605</v>
      </c>
      <c r="E9" s="35" t="s">
        <v>81</v>
      </c>
      <c r="F9" s="109" t="s">
        <v>379</v>
      </c>
    </row>
    <row r="10" ht="34.5" customHeight="1">
      <c r="A10" s="33">
        <v>8.0</v>
      </c>
      <c r="B10" s="34" t="s">
        <v>606</v>
      </c>
      <c r="C10" s="36" t="s">
        <v>594</v>
      </c>
      <c r="D10" s="90" t="s">
        <v>607</v>
      </c>
      <c r="E10" s="35" t="s">
        <v>81</v>
      </c>
      <c r="F10" s="109" t="s">
        <v>379</v>
      </c>
    </row>
    <row r="11" ht="60.0" customHeight="1">
      <c r="A11" s="33">
        <v>9.0</v>
      </c>
      <c r="B11" s="34" t="s">
        <v>608</v>
      </c>
      <c r="C11" s="36" t="s">
        <v>594</v>
      </c>
      <c r="D11" s="90" t="s">
        <v>609</v>
      </c>
      <c r="E11" s="35" t="s">
        <v>81</v>
      </c>
      <c r="F11" s="109" t="s">
        <v>379</v>
      </c>
    </row>
    <row r="12" ht="47.25" customHeight="1">
      <c r="A12" s="33">
        <v>10.0</v>
      </c>
      <c r="B12" s="34" t="s">
        <v>610</v>
      </c>
      <c r="C12" s="36" t="s">
        <v>594</v>
      </c>
      <c r="D12" s="90" t="s">
        <v>611</v>
      </c>
      <c r="E12" s="35" t="s">
        <v>81</v>
      </c>
      <c r="F12" s="109" t="s">
        <v>379</v>
      </c>
    </row>
    <row r="13" ht="47.25" customHeight="1">
      <c r="A13" s="33">
        <v>11.0</v>
      </c>
      <c r="B13" s="34" t="s">
        <v>612</v>
      </c>
      <c r="C13" s="36" t="s">
        <v>594</v>
      </c>
      <c r="D13" s="90" t="s">
        <v>613</v>
      </c>
      <c r="E13" s="35" t="s">
        <v>81</v>
      </c>
      <c r="F13" s="109" t="s">
        <v>379</v>
      </c>
    </row>
    <row r="14" ht="60.0" customHeight="1">
      <c r="A14" s="33">
        <v>12.0</v>
      </c>
      <c r="B14" s="34" t="s">
        <v>614</v>
      </c>
      <c r="C14" s="36" t="s">
        <v>594</v>
      </c>
      <c r="D14" s="90" t="s">
        <v>615</v>
      </c>
      <c r="E14" s="35" t="s">
        <v>81</v>
      </c>
      <c r="F14" s="109" t="s">
        <v>379</v>
      </c>
    </row>
    <row r="15" ht="60.0" customHeight="1">
      <c r="A15" s="33">
        <v>13.0</v>
      </c>
      <c r="B15" s="34" t="s">
        <v>616</v>
      </c>
      <c r="C15" s="36" t="s">
        <v>594</v>
      </c>
      <c r="D15" s="90" t="s">
        <v>617</v>
      </c>
      <c r="E15" s="35" t="s">
        <v>81</v>
      </c>
      <c r="F15" s="91" t="s">
        <v>618</v>
      </c>
    </row>
    <row r="16" ht="47.25" customHeight="1">
      <c r="A16" s="33">
        <v>14.0</v>
      </c>
      <c r="B16" s="34" t="s">
        <v>619</v>
      </c>
      <c r="C16" s="36" t="s">
        <v>594</v>
      </c>
      <c r="D16" s="90" t="s">
        <v>620</v>
      </c>
      <c r="E16" s="35" t="s">
        <v>81</v>
      </c>
      <c r="F16" s="109" t="s">
        <v>379</v>
      </c>
    </row>
    <row r="17" ht="47.25" customHeight="1">
      <c r="A17" s="33">
        <v>15.0</v>
      </c>
      <c r="B17" s="34" t="s">
        <v>621</v>
      </c>
      <c r="C17" s="36" t="s">
        <v>594</v>
      </c>
      <c r="D17" s="90" t="s">
        <v>622</v>
      </c>
      <c r="E17" s="35" t="s">
        <v>81</v>
      </c>
      <c r="F17" s="109" t="s">
        <v>379</v>
      </c>
    </row>
    <row r="18" ht="47.25" customHeight="1">
      <c r="A18" s="33">
        <v>16.0</v>
      </c>
      <c r="B18" s="34" t="s">
        <v>623</v>
      </c>
      <c r="C18" s="36" t="s">
        <v>594</v>
      </c>
      <c r="D18" s="90" t="s">
        <v>624</v>
      </c>
      <c r="E18" s="35" t="s">
        <v>81</v>
      </c>
      <c r="F18" s="109" t="s">
        <v>379</v>
      </c>
    </row>
    <row r="19" ht="34.5" customHeight="1">
      <c r="A19" s="33">
        <v>17.0</v>
      </c>
      <c r="B19" s="34" t="s">
        <v>590</v>
      </c>
      <c r="C19" s="36" t="s">
        <v>625</v>
      </c>
      <c r="D19" s="90" t="s">
        <v>626</v>
      </c>
      <c r="E19" s="35" t="s">
        <v>80</v>
      </c>
      <c r="F19" s="91" t="s">
        <v>394</v>
      </c>
    </row>
    <row r="20" ht="34.5" customHeight="1">
      <c r="A20" s="44">
        <v>18.0</v>
      </c>
      <c r="B20" s="45" t="s">
        <v>627</v>
      </c>
      <c r="C20" s="47" t="s">
        <v>628</v>
      </c>
      <c r="D20" s="93" t="s">
        <v>629</v>
      </c>
      <c r="E20" s="46" t="s">
        <v>92</v>
      </c>
      <c r="F20" s="101" t="s">
        <v>379</v>
      </c>
    </row>
    <row r="21" ht="15.75" customHeight="1"/>
    <row r="22" ht="19.5" customHeight="1"/>
    <row r="23" ht="30.0" customHeight="1"/>
    <row r="24" ht="15.75" customHeight="1"/>
    <row r="25" ht="15.75" customHeight="1"/>
    <row r="26" ht="15.75" customHeight="1"/>
    <row r="27" ht="15.75" customHeight="1"/>
    <row r="28" ht="19.5" customHeight="1"/>
    <row r="29" ht="30.0" customHeight="1"/>
    <row r="30" ht="15.75" customHeight="1"/>
    <row r="31" ht="15.75" customHeight="1"/>
    <row r="32" ht="15.75" customHeight="1"/>
    <row r="33" ht="30.0"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F3:F20">
    <cfRule type="containsText" dxfId="0" priority="1" stopIfTrue="1" operator="containsText" text="Baseline">
      <formula>NOT(ISERROR(SEARCH(("Baseline"),(F3))))</formula>
    </cfRule>
  </conditionalFormatting>
  <conditionalFormatting sqref="F3:F20">
    <cfRule type="containsText" dxfId="1" priority="2" stopIfTrue="1" operator="containsText" text="Đã thống nhất">
      <formula>NOT(ISERROR(SEARCH(("Đã thống nhất"),(F3))))</formula>
    </cfRule>
  </conditionalFormatting>
  <hyperlinks>
    <hyperlink display="Weapons" location="Weapons!A1" ref="E3"/>
    <hyperlink display="ECONOMIC" location="ECONOMIC!A1" ref="E4"/>
    <hyperlink display="ECONOMIC" location="ECONOMIC!A1" ref="E5"/>
    <hyperlink display="ECONOMIC" location="ECONOMIC!A1" ref="E6"/>
    <hyperlink display="MAP DESIGN" location="'MAP DESIGN'!A1" ref="E7"/>
    <hyperlink display="MAP DESIGN" location="'MAP DESIGN'!A1" ref="E8"/>
    <hyperlink display="MAP DESIGN" location="'MAP DESIGN'!A1" ref="E9"/>
    <hyperlink display="MAP DESIGN" location="'MAP DESIGN'!A1" ref="E10"/>
    <hyperlink display="MAP DESIGN" location="'MAP DESIGN'!A1" ref="E11"/>
    <hyperlink display="MAP DESIGN" location="'MAP DESIGN'!A1" ref="E12"/>
    <hyperlink display="MAP DESIGN" location="'MAP DESIGN'!A1" ref="E13"/>
    <hyperlink display="MAP DESIGN" location="'MAP DESIGN'!A1" ref="E14"/>
    <hyperlink display="MAP DESIGN" location="'MAP DESIGN'!A1" ref="E15"/>
    <hyperlink display="MAP DESIGN" location="'MAP DESIGN'!A1" ref="E16"/>
    <hyperlink display="MAP DESIGN" location="'MAP DESIGN'!A1" ref="E17"/>
    <hyperlink display="MAP DESIGN" location="'MAP DESIGN'!A1" ref="E18"/>
    <hyperlink display="Weapons" location="Weapons!A1" ref="E19"/>
    <hyperlink display="ECONOMIC" location="ECONOMIC!A1" ref="E20"/>
  </hyperlinks>
  <printOptions/>
  <pageMargins bottom="1.0" footer="0.0" header="0.0" left="0.75" right="0.75" top="1.0"/>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34.43"/>
    <col customWidth="1" min="3" max="3" width="32.29"/>
    <col customWidth="1" min="4" max="4" width="30.14"/>
    <col customWidth="1" min="5" max="5" width="35.86"/>
    <col customWidth="1" min="6" max="6" width="25.86"/>
    <col customWidth="1" min="7" max="7" width="26.0"/>
    <col customWidth="1" min="8" max="8" width="46.0"/>
    <col customWidth="1" min="9" max="9" width="24.0"/>
    <col customWidth="1" min="10" max="26" width="8.71"/>
  </cols>
  <sheetData>
    <row r="1" ht="31.5" customHeight="1">
      <c r="A1" s="29" t="s">
        <v>56</v>
      </c>
    </row>
    <row r="2" ht="25.5" customHeight="1">
      <c r="A2" s="112" t="s">
        <v>630</v>
      </c>
      <c r="B2" s="113" t="s">
        <v>631</v>
      </c>
      <c r="C2" s="113" t="s">
        <v>632</v>
      </c>
      <c r="D2" s="113" t="s">
        <v>633</v>
      </c>
      <c r="E2" s="113" t="s">
        <v>634</v>
      </c>
      <c r="F2" s="114" t="s">
        <v>51</v>
      </c>
    </row>
    <row r="3" ht="45.0" customHeight="1">
      <c r="A3" s="115" t="s">
        <v>58</v>
      </c>
      <c r="B3" s="90" t="s">
        <v>635</v>
      </c>
      <c r="C3" s="90" t="s">
        <v>636</v>
      </c>
      <c r="D3" s="90" t="s">
        <v>637</v>
      </c>
      <c r="E3" s="90" t="s">
        <v>638</v>
      </c>
      <c r="F3" s="37" t="s">
        <v>639</v>
      </c>
    </row>
    <row r="4" ht="45.0" customHeight="1">
      <c r="A4" s="115" t="s">
        <v>640</v>
      </c>
      <c r="B4" s="90" t="s">
        <v>641</v>
      </c>
      <c r="C4" s="90" t="s">
        <v>642</v>
      </c>
      <c r="D4" s="90" t="s">
        <v>643</v>
      </c>
      <c r="E4" s="90" t="s">
        <v>644</v>
      </c>
      <c r="F4" s="37" t="s">
        <v>645</v>
      </c>
    </row>
    <row r="5" ht="45.0" customHeight="1">
      <c r="A5" s="115" t="s">
        <v>646</v>
      </c>
      <c r="B5" s="90" t="s">
        <v>647</v>
      </c>
      <c r="C5" s="90" t="s">
        <v>648</v>
      </c>
      <c r="D5" s="90" t="s">
        <v>649</v>
      </c>
      <c r="E5" s="90" t="s">
        <v>650</v>
      </c>
      <c r="F5" s="37" t="s">
        <v>651</v>
      </c>
    </row>
    <row r="6" ht="45.0" customHeight="1">
      <c r="A6" s="115" t="s">
        <v>652</v>
      </c>
      <c r="B6" s="90" t="s">
        <v>653</v>
      </c>
      <c r="C6" s="90" t="s">
        <v>654</v>
      </c>
      <c r="D6" s="90" t="s">
        <v>655</v>
      </c>
      <c r="E6" s="90" t="s">
        <v>656</v>
      </c>
      <c r="F6" s="37" t="s">
        <v>657</v>
      </c>
    </row>
    <row r="7" ht="45.0" customHeight="1">
      <c r="A7" s="115" t="s">
        <v>658</v>
      </c>
      <c r="B7" s="90" t="s">
        <v>659</v>
      </c>
      <c r="C7" s="90" t="s">
        <v>660</v>
      </c>
      <c r="D7" s="90" t="s">
        <v>661</v>
      </c>
      <c r="E7" s="90" t="s">
        <v>662</v>
      </c>
      <c r="F7" s="37" t="s">
        <v>663</v>
      </c>
    </row>
    <row r="8" ht="45.0" customHeight="1">
      <c r="A8" s="116" t="s">
        <v>664</v>
      </c>
      <c r="B8" s="93" t="s">
        <v>665</v>
      </c>
      <c r="C8" s="93" t="s">
        <v>666</v>
      </c>
      <c r="D8" s="93" t="s">
        <v>667</v>
      </c>
      <c r="E8" s="93" t="s">
        <v>668</v>
      </c>
      <c r="F8" s="48" t="s">
        <v>669</v>
      </c>
    </row>
    <row r="10" ht="30.0" customHeight="1"/>
    <row r="12" ht="19.5" customHeight="1"/>
    <row r="13" ht="30.0"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71"/>
    <col customWidth="1" min="2" max="2" width="20.71"/>
    <col customWidth="1" min="3" max="3" width="21.57"/>
    <col customWidth="1" min="4" max="4" width="66.57"/>
    <col customWidth="1" min="5" max="5" width="24.43"/>
    <col customWidth="1" min="6" max="6" width="22.29"/>
    <col customWidth="1" min="7" max="26" width="8.71"/>
  </cols>
  <sheetData>
    <row r="1" ht="31.5" customHeight="1">
      <c r="A1" s="29" t="s">
        <v>81</v>
      </c>
    </row>
    <row r="2" ht="25.5" customHeight="1">
      <c r="A2" s="30" t="s">
        <v>47</v>
      </c>
      <c r="B2" s="31" t="s">
        <v>360</v>
      </c>
      <c r="C2" s="31" t="s">
        <v>361</v>
      </c>
      <c r="D2" s="31" t="s">
        <v>362</v>
      </c>
      <c r="E2" s="31" t="s">
        <v>363</v>
      </c>
      <c r="F2" s="32" t="s">
        <v>364</v>
      </c>
    </row>
    <row r="3" ht="34.5" customHeight="1">
      <c r="A3" s="33">
        <v>1.0</v>
      </c>
      <c r="B3" s="89" t="s">
        <v>81</v>
      </c>
      <c r="C3" s="36" t="s">
        <v>670</v>
      </c>
      <c r="D3" s="90" t="s">
        <v>671</v>
      </c>
      <c r="E3" s="35" t="s">
        <v>53</v>
      </c>
      <c r="F3" s="91" t="s">
        <v>672</v>
      </c>
    </row>
    <row r="4" ht="34.5" customHeight="1">
      <c r="A4" s="33">
        <v>2.0</v>
      </c>
      <c r="B4" s="89" t="s">
        <v>81</v>
      </c>
      <c r="C4" s="36" t="s">
        <v>673</v>
      </c>
      <c r="D4" s="90" t="s">
        <v>674</v>
      </c>
      <c r="E4" s="35" t="s">
        <v>63</v>
      </c>
      <c r="F4" s="91" t="s">
        <v>672</v>
      </c>
    </row>
    <row r="5" ht="34.5" customHeight="1">
      <c r="A5" s="33">
        <v>3.0</v>
      </c>
      <c r="B5" s="89" t="s">
        <v>81</v>
      </c>
      <c r="C5" s="36" t="s">
        <v>675</v>
      </c>
      <c r="D5" s="90" t="s">
        <v>676</v>
      </c>
      <c r="E5" s="35" t="s">
        <v>401</v>
      </c>
      <c r="F5" s="109" t="s">
        <v>379</v>
      </c>
    </row>
    <row r="6" ht="34.5" customHeight="1">
      <c r="A6" s="33">
        <v>4.0</v>
      </c>
      <c r="B6" s="34" t="s">
        <v>677</v>
      </c>
      <c r="C6" s="36" t="s">
        <v>678</v>
      </c>
      <c r="D6" s="90" t="s">
        <v>679</v>
      </c>
      <c r="E6" s="35" t="s">
        <v>63</v>
      </c>
      <c r="F6" s="109" t="s">
        <v>379</v>
      </c>
    </row>
    <row r="7" ht="34.5" customHeight="1">
      <c r="A7" s="33">
        <v>5.0</v>
      </c>
      <c r="B7" s="34" t="s">
        <v>680</v>
      </c>
      <c r="C7" s="36" t="s">
        <v>591</v>
      </c>
      <c r="D7" s="90" t="s">
        <v>681</v>
      </c>
      <c r="E7" s="35" t="s">
        <v>80</v>
      </c>
      <c r="F7" s="91" t="s">
        <v>672</v>
      </c>
    </row>
    <row r="8" ht="34.5" customHeight="1">
      <c r="A8" s="33">
        <v>6.0</v>
      </c>
      <c r="B8" s="34" t="s">
        <v>682</v>
      </c>
      <c r="C8" s="36" t="s">
        <v>683</v>
      </c>
      <c r="D8" s="90" t="s">
        <v>684</v>
      </c>
      <c r="E8" s="35" t="s">
        <v>401</v>
      </c>
      <c r="F8" s="91" t="s">
        <v>394</v>
      </c>
    </row>
    <row r="9" ht="34.5" customHeight="1">
      <c r="A9" s="33">
        <v>7.0</v>
      </c>
      <c r="B9" s="34" t="s">
        <v>682</v>
      </c>
      <c r="C9" s="36" t="s">
        <v>685</v>
      </c>
      <c r="D9" s="90" t="s">
        <v>686</v>
      </c>
      <c r="E9" s="35" t="s">
        <v>435</v>
      </c>
      <c r="F9" s="91" t="s">
        <v>687</v>
      </c>
    </row>
    <row r="10" ht="34.5" customHeight="1">
      <c r="A10" s="33">
        <v>8.0</v>
      </c>
      <c r="B10" s="34" t="s">
        <v>682</v>
      </c>
      <c r="C10" s="36" t="s">
        <v>688</v>
      </c>
      <c r="D10" s="90" t="s">
        <v>689</v>
      </c>
      <c r="E10" s="35" t="s">
        <v>435</v>
      </c>
      <c r="F10" s="91" t="s">
        <v>690</v>
      </c>
    </row>
    <row r="11" ht="34.5" customHeight="1">
      <c r="A11" s="33">
        <v>9.0</v>
      </c>
      <c r="B11" s="34" t="s">
        <v>673</v>
      </c>
      <c r="C11" s="36" t="s">
        <v>691</v>
      </c>
      <c r="D11" s="90" t="s">
        <v>692</v>
      </c>
      <c r="E11" s="35" t="s">
        <v>92</v>
      </c>
      <c r="F11" s="109" t="s">
        <v>419</v>
      </c>
    </row>
    <row r="12" ht="34.5" customHeight="1">
      <c r="A12" s="33">
        <v>10.0</v>
      </c>
      <c r="B12" s="34" t="s">
        <v>673</v>
      </c>
      <c r="C12" s="36" t="s">
        <v>693</v>
      </c>
      <c r="D12" s="90" t="s">
        <v>694</v>
      </c>
      <c r="E12" s="35" t="s">
        <v>98</v>
      </c>
      <c r="F12" s="109" t="s">
        <v>419</v>
      </c>
    </row>
    <row r="13" ht="34.5" customHeight="1">
      <c r="A13" s="33">
        <v>11.0</v>
      </c>
      <c r="B13" s="34" t="s">
        <v>673</v>
      </c>
      <c r="C13" s="36" t="s">
        <v>695</v>
      </c>
      <c r="D13" s="90" t="s">
        <v>696</v>
      </c>
      <c r="E13" s="35" t="s">
        <v>77</v>
      </c>
      <c r="F13" s="91" t="s">
        <v>394</v>
      </c>
    </row>
    <row r="14" ht="34.5" customHeight="1">
      <c r="A14" s="44">
        <v>12.0</v>
      </c>
      <c r="B14" s="45" t="s">
        <v>673</v>
      </c>
      <c r="C14" s="47" t="s">
        <v>697</v>
      </c>
      <c r="D14" s="93" t="s">
        <v>698</v>
      </c>
      <c r="E14" s="47" t="s">
        <v>699</v>
      </c>
      <c r="F14" s="94" t="s">
        <v>700</v>
      </c>
    </row>
    <row r="18" ht="19.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conditionalFormatting sqref="F3:F14">
    <cfRule type="containsText" dxfId="0" priority="1" stopIfTrue="1" operator="containsText" text="Baseline">
      <formula>NOT(ISERROR(SEARCH(("Baseline"),(F3))))</formula>
    </cfRule>
  </conditionalFormatting>
  <conditionalFormatting sqref="F3:F14">
    <cfRule type="containsText" dxfId="1" priority="2" stopIfTrue="1" operator="containsText" text="Đã thống nhất">
      <formula>NOT(ISERROR(SEARCH(("Đã thống nhất"),(F3))))</formula>
    </cfRule>
  </conditionalFormatting>
  <hyperlinks>
    <hyperlink display="MAP DESIGN" location="'MAP DESIGN'!A1" ref="B3"/>
    <hyperlink display="OVERVIEW" location="OVERVIEW!A1" ref="E3"/>
    <hyperlink display="MAP DESIGN" location="'MAP DESIGN'!A1" ref="B4"/>
    <hyperlink display="CORE LOOP" location="'CORE LOOP'!A1" ref="E4"/>
    <hyperlink display="MAP DESIGN" location="'MAP DESIGN'!A1" ref="B5"/>
    <hyperlink display="MATCH DESIGN DATA" location="'MATCH DESIGN DATA'!A1" ref="E5"/>
    <hyperlink display="CORE LOOP" location="'CORE LOOP'!A1" ref="E6"/>
    <hyperlink display="Weapons" location="Weapons!A1" ref="E7"/>
    <hyperlink display="MATCH DESIGN DATA" location="'MATCH DESIGN DATA'!A1" ref="E8"/>
    <hyperlink display="TEST &amp; BALANCE" location="'TEST &amp; BALANCE'!A1" ref="E9"/>
    <hyperlink display="TEST &amp; BALANCE" location="'TEST &amp; BALANCE'!A1" ref="E10"/>
    <hyperlink display="ECONOMIC" location="ECONOMIC!A1" ref="E11"/>
    <hyperlink display="Obstacles" location="Obstacles!A1" ref="E12"/>
    <hyperlink display="Assets" location="Assets!A1" ref="E13"/>
  </hyperlinks>
  <printOptions/>
  <pageMargins bottom="1.0" footer="0.0" header="0.0" left="0.75" right="0.75" top="1.0"/>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43"/>
    <col customWidth="1" min="2" max="2" width="21.57"/>
    <col customWidth="1" min="3" max="4" width="25.14"/>
    <col customWidth="1" min="5" max="5" width="27.29"/>
    <col customWidth="1" min="6" max="6" width="22.29"/>
    <col customWidth="1" min="7" max="7" width="19.43"/>
    <col customWidth="1" min="8" max="8" width="20.86"/>
    <col customWidth="1" min="9" max="26" width="8.71"/>
  </cols>
  <sheetData>
    <row r="1" ht="31.5" customHeight="1">
      <c r="A1" s="29" t="s">
        <v>92</v>
      </c>
    </row>
    <row r="2" ht="39.0" customHeight="1">
      <c r="A2" s="30" t="s">
        <v>47</v>
      </c>
      <c r="B2" s="31" t="s">
        <v>701</v>
      </c>
      <c r="C2" s="31" t="s">
        <v>702</v>
      </c>
      <c r="D2" s="31" t="s">
        <v>703</v>
      </c>
      <c r="E2" s="31" t="s">
        <v>704</v>
      </c>
      <c r="F2" s="31" t="s">
        <v>364</v>
      </c>
      <c r="G2" s="31" t="s">
        <v>363</v>
      </c>
      <c r="H2" s="32" t="s">
        <v>705</v>
      </c>
    </row>
    <row r="3" ht="34.5" customHeight="1">
      <c r="A3" s="33">
        <v>1.0</v>
      </c>
      <c r="B3" s="34" t="s">
        <v>706</v>
      </c>
      <c r="C3" s="90" t="s">
        <v>707</v>
      </c>
      <c r="D3" s="90" t="s">
        <v>708</v>
      </c>
      <c r="E3" s="90" t="s">
        <v>709</v>
      </c>
      <c r="F3" s="36" t="s">
        <v>377</v>
      </c>
      <c r="G3" s="35" t="s">
        <v>80</v>
      </c>
      <c r="H3" s="37" t="s">
        <v>710</v>
      </c>
    </row>
    <row r="4" ht="34.5" customHeight="1">
      <c r="A4" s="33">
        <v>2.0</v>
      </c>
      <c r="B4" s="34" t="s">
        <v>711</v>
      </c>
      <c r="C4" s="90" t="s">
        <v>712</v>
      </c>
      <c r="D4" s="90" t="s">
        <v>713</v>
      </c>
      <c r="E4" s="90" t="s">
        <v>714</v>
      </c>
      <c r="F4" s="117" t="s">
        <v>419</v>
      </c>
      <c r="G4" s="35" t="s">
        <v>375</v>
      </c>
      <c r="H4" s="37" t="s">
        <v>715</v>
      </c>
    </row>
    <row r="5" ht="34.5" customHeight="1">
      <c r="A5" s="33">
        <v>3.0</v>
      </c>
      <c r="B5" s="34" t="s">
        <v>716</v>
      </c>
      <c r="C5" s="90" t="s">
        <v>717</v>
      </c>
      <c r="D5" s="90" t="s">
        <v>718</v>
      </c>
      <c r="E5" s="90" t="s">
        <v>719</v>
      </c>
      <c r="F5" s="117" t="s">
        <v>379</v>
      </c>
      <c r="G5" s="35" t="s">
        <v>375</v>
      </c>
      <c r="H5" s="37" t="s">
        <v>720</v>
      </c>
    </row>
    <row r="6" ht="47.25" customHeight="1">
      <c r="A6" s="33">
        <v>4.0</v>
      </c>
      <c r="B6" s="34" t="s">
        <v>721</v>
      </c>
      <c r="C6" s="90" t="s">
        <v>722</v>
      </c>
      <c r="D6" s="90" t="s">
        <v>723</v>
      </c>
      <c r="E6" s="90" t="s">
        <v>724</v>
      </c>
      <c r="F6" s="117" t="s">
        <v>419</v>
      </c>
      <c r="G6" s="35" t="s">
        <v>81</v>
      </c>
      <c r="H6" s="37" t="s">
        <v>725</v>
      </c>
    </row>
    <row r="7" ht="34.5" customHeight="1">
      <c r="A7" s="33">
        <v>5.0</v>
      </c>
      <c r="B7" s="34" t="s">
        <v>726</v>
      </c>
      <c r="C7" s="90" t="s">
        <v>727</v>
      </c>
      <c r="D7" s="90" t="s">
        <v>728</v>
      </c>
      <c r="E7" s="90" t="s">
        <v>729</v>
      </c>
      <c r="F7" s="117" t="s">
        <v>419</v>
      </c>
      <c r="G7" s="35" t="s">
        <v>63</v>
      </c>
      <c r="H7" s="37" t="s">
        <v>730</v>
      </c>
    </row>
    <row r="8" ht="47.25" customHeight="1">
      <c r="A8" s="33">
        <v>6.0</v>
      </c>
      <c r="B8" s="34" t="s">
        <v>731</v>
      </c>
      <c r="C8" s="90" t="s">
        <v>732</v>
      </c>
      <c r="D8" s="90" t="s">
        <v>733</v>
      </c>
      <c r="E8" s="90" t="s">
        <v>734</v>
      </c>
      <c r="F8" s="36" t="s">
        <v>690</v>
      </c>
      <c r="G8" s="35" t="s">
        <v>435</v>
      </c>
      <c r="H8" s="37" t="s">
        <v>735</v>
      </c>
    </row>
    <row r="9" ht="47.25" customHeight="1">
      <c r="A9" s="33">
        <v>7.0</v>
      </c>
      <c r="B9" s="34" t="s">
        <v>736</v>
      </c>
      <c r="C9" s="90" t="s">
        <v>737</v>
      </c>
      <c r="D9" s="90" t="s">
        <v>737</v>
      </c>
      <c r="E9" s="90" t="s">
        <v>738</v>
      </c>
      <c r="F9" s="36" t="s">
        <v>739</v>
      </c>
      <c r="G9" s="35" t="s">
        <v>53</v>
      </c>
      <c r="H9" s="37" t="s">
        <v>740</v>
      </c>
    </row>
    <row r="10" ht="27.0" customHeight="1">
      <c r="A10" s="38" t="s">
        <v>741</v>
      </c>
      <c r="B10" s="39"/>
      <c r="C10" s="39"/>
      <c r="D10" s="39"/>
      <c r="E10" s="39"/>
      <c r="F10" s="39"/>
      <c r="G10" s="39"/>
      <c r="H10" s="40"/>
    </row>
    <row r="11" ht="25.5" customHeight="1">
      <c r="A11" s="118" t="s">
        <v>438</v>
      </c>
      <c r="B11" s="119" t="s">
        <v>47</v>
      </c>
      <c r="C11" s="42" t="s">
        <v>742</v>
      </c>
      <c r="D11" s="42" t="s">
        <v>743</v>
      </c>
      <c r="E11" s="42" t="s">
        <v>744</v>
      </c>
      <c r="F11" s="42" t="s">
        <v>364</v>
      </c>
      <c r="G11" s="42" t="s">
        <v>363</v>
      </c>
      <c r="H11" s="43" t="s">
        <v>705</v>
      </c>
    </row>
    <row r="12" ht="34.5" customHeight="1">
      <c r="A12" s="115" t="s">
        <v>745</v>
      </c>
      <c r="B12" s="120">
        <v>1.0</v>
      </c>
      <c r="C12" s="90" t="s">
        <v>746</v>
      </c>
      <c r="D12" s="90" t="s">
        <v>747</v>
      </c>
      <c r="E12" s="90" t="s">
        <v>748</v>
      </c>
      <c r="F12" s="117" t="s">
        <v>379</v>
      </c>
      <c r="G12" s="35" t="s">
        <v>81</v>
      </c>
      <c r="H12" s="37" t="s">
        <v>749</v>
      </c>
    </row>
    <row r="13" ht="34.5" customHeight="1">
      <c r="A13" s="115" t="s">
        <v>745</v>
      </c>
      <c r="B13" s="120">
        <v>2.0</v>
      </c>
      <c r="C13" s="90" t="s">
        <v>750</v>
      </c>
      <c r="D13" s="90" t="s">
        <v>747</v>
      </c>
      <c r="E13" s="90" t="s">
        <v>751</v>
      </c>
      <c r="F13" s="117" t="s">
        <v>379</v>
      </c>
      <c r="G13" s="35" t="s">
        <v>81</v>
      </c>
      <c r="H13" s="37" t="s">
        <v>749</v>
      </c>
    </row>
    <row r="14" ht="34.5" customHeight="1">
      <c r="A14" s="115" t="s">
        <v>745</v>
      </c>
      <c r="B14" s="120">
        <v>3.0</v>
      </c>
      <c r="C14" s="90" t="s">
        <v>752</v>
      </c>
      <c r="D14" s="90" t="s">
        <v>747</v>
      </c>
      <c r="E14" s="90" t="s">
        <v>753</v>
      </c>
      <c r="F14" s="117" t="s">
        <v>379</v>
      </c>
      <c r="G14" s="35" t="s">
        <v>81</v>
      </c>
      <c r="H14" s="37" t="s">
        <v>749</v>
      </c>
    </row>
    <row r="15" ht="34.5" customHeight="1">
      <c r="A15" s="115" t="s">
        <v>745</v>
      </c>
      <c r="B15" s="120">
        <v>4.0</v>
      </c>
      <c r="C15" s="90" t="s">
        <v>754</v>
      </c>
      <c r="D15" s="90" t="s">
        <v>747</v>
      </c>
      <c r="E15" s="90" t="s">
        <v>755</v>
      </c>
      <c r="F15" s="117" t="s">
        <v>379</v>
      </c>
      <c r="G15" s="35" t="s">
        <v>81</v>
      </c>
      <c r="H15" s="37" t="s">
        <v>749</v>
      </c>
    </row>
    <row r="16" ht="47.25" customHeight="1">
      <c r="A16" s="115" t="s">
        <v>438</v>
      </c>
      <c r="B16" s="120">
        <v>5.0</v>
      </c>
      <c r="C16" s="90" t="s">
        <v>756</v>
      </c>
      <c r="D16" s="90" t="s">
        <v>757</v>
      </c>
      <c r="E16" s="90" t="s">
        <v>758</v>
      </c>
      <c r="F16" s="117" t="s">
        <v>379</v>
      </c>
      <c r="G16" s="35" t="s">
        <v>64</v>
      </c>
      <c r="H16" s="37" t="s">
        <v>759</v>
      </c>
    </row>
    <row r="17" ht="47.25" customHeight="1">
      <c r="A17" s="115" t="s">
        <v>438</v>
      </c>
      <c r="B17" s="120">
        <v>6.0</v>
      </c>
      <c r="C17" s="90" t="s">
        <v>760</v>
      </c>
      <c r="D17" s="90" t="s">
        <v>757</v>
      </c>
      <c r="E17" s="90" t="s">
        <v>761</v>
      </c>
      <c r="F17" s="117" t="s">
        <v>379</v>
      </c>
      <c r="G17" s="35" t="s">
        <v>64</v>
      </c>
      <c r="H17" s="37" t="s">
        <v>759</v>
      </c>
    </row>
    <row r="18" ht="47.25" customHeight="1">
      <c r="A18" s="115" t="s">
        <v>438</v>
      </c>
      <c r="B18" s="120">
        <v>7.0</v>
      </c>
      <c r="C18" s="90" t="s">
        <v>762</v>
      </c>
      <c r="D18" s="90" t="s">
        <v>757</v>
      </c>
      <c r="E18" s="90" t="s">
        <v>763</v>
      </c>
      <c r="F18" s="117" t="s">
        <v>379</v>
      </c>
      <c r="G18" s="35" t="s">
        <v>64</v>
      </c>
      <c r="H18" s="37" t="s">
        <v>759</v>
      </c>
    </row>
    <row r="19" ht="47.25" customHeight="1">
      <c r="A19" s="115" t="s">
        <v>438</v>
      </c>
      <c r="B19" s="120">
        <v>8.0</v>
      </c>
      <c r="C19" s="90" t="s">
        <v>764</v>
      </c>
      <c r="D19" s="90" t="s">
        <v>757</v>
      </c>
      <c r="E19" s="90" t="s">
        <v>765</v>
      </c>
      <c r="F19" s="117" t="s">
        <v>379</v>
      </c>
      <c r="G19" s="35" t="s">
        <v>64</v>
      </c>
      <c r="H19" s="37" t="s">
        <v>759</v>
      </c>
    </row>
    <row r="20" ht="47.25" customHeight="1">
      <c r="A20" s="115" t="s">
        <v>438</v>
      </c>
      <c r="B20" s="120">
        <v>9.0</v>
      </c>
      <c r="C20" s="90" t="s">
        <v>766</v>
      </c>
      <c r="D20" s="90" t="s">
        <v>757</v>
      </c>
      <c r="E20" s="90" t="s">
        <v>767</v>
      </c>
      <c r="F20" s="117" t="s">
        <v>379</v>
      </c>
      <c r="G20" s="35" t="s">
        <v>64</v>
      </c>
      <c r="H20" s="37" t="s">
        <v>759</v>
      </c>
    </row>
    <row r="21" ht="47.25" customHeight="1">
      <c r="A21" s="115" t="s">
        <v>438</v>
      </c>
      <c r="B21" s="120">
        <v>10.0</v>
      </c>
      <c r="C21" s="90" t="s">
        <v>768</v>
      </c>
      <c r="D21" s="90" t="s">
        <v>757</v>
      </c>
      <c r="E21" s="90" t="s">
        <v>769</v>
      </c>
      <c r="F21" s="117" t="s">
        <v>379</v>
      </c>
      <c r="G21" s="35" t="s">
        <v>64</v>
      </c>
      <c r="H21" s="37" t="s">
        <v>759</v>
      </c>
    </row>
    <row r="22" ht="27.0" customHeight="1">
      <c r="A22" s="38" t="s">
        <v>770</v>
      </c>
      <c r="B22" s="39"/>
      <c r="C22" s="39"/>
      <c r="D22" s="39"/>
      <c r="E22" s="39"/>
      <c r="F22" s="39"/>
      <c r="G22" s="39"/>
      <c r="H22" s="40"/>
    </row>
    <row r="23" ht="25.5" customHeight="1">
      <c r="A23" s="41" t="s">
        <v>47</v>
      </c>
      <c r="B23" s="42" t="s">
        <v>771</v>
      </c>
      <c r="C23" s="42" t="s">
        <v>772</v>
      </c>
      <c r="D23" s="42" t="s">
        <v>773</v>
      </c>
      <c r="E23" s="42" t="s">
        <v>704</v>
      </c>
      <c r="F23" s="42" t="s">
        <v>364</v>
      </c>
      <c r="G23" s="42" t="s">
        <v>363</v>
      </c>
      <c r="H23" s="43" t="s">
        <v>705</v>
      </c>
    </row>
    <row r="24" ht="47.25" customHeight="1">
      <c r="A24" s="33">
        <v>1.0</v>
      </c>
      <c r="B24" s="34" t="s">
        <v>465</v>
      </c>
      <c r="C24" s="121" t="s">
        <v>774</v>
      </c>
      <c r="D24" s="36">
        <v>1.0</v>
      </c>
      <c r="E24" s="90" t="s">
        <v>775</v>
      </c>
      <c r="F24" s="117" t="s">
        <v>379</v>
      </c>
      <c r="G24" s="35" t="s">
        <v>64</v>
      </c>
      <c r="H24" s="37" t="s">
        <v>776</v>
      </c>
    </row>
    <row r="25" ht="47.25" customHeight="1">
      <c r="A25" s="33">
        <v>2.0</v>
      </c>
      <c r="B25" s="34" t="s">
        <v>586</v>
      </c>
      <c r="C25" s="121" t="s">
        <v>774</v>
      </c>
      <c r="D25" s="36">
        <v>1.0</v>
      </c>
      <c r="E25" s="90" t="s">
        <v>775</v>
      </c>
      <c r="F25" s="117" t="s">
        <v>379</v>
      </c>
      <c r="G25" s="35" t="s">
        <v>64</v>
      </c>
      <c r="H25" s="37" t="s">
        <v>776</v>
      </c>
    </row>
    <row r="26" ht="47.25" customHeight="1">
      <c r="A26" s="33">
        <v>3.0</v>
      </c>
      <c r="B26" s="34" t="s">
        <v>777</v>
      </c>
      <c r="C26" s="121" t="s">
        <v>778</v>
      </c>
      <c r="D26" s="36">
        <v>1.0</v>
      </c>
      <c r="E26" s="90" t="s">
        <v>775</v>
      </c>
      <c r="F26" s="117" t="s">
        <v>379</v>
      </c>
      <c r="G26" s="35" t="s">
        <v>64</v>
      </c>
      <c r="H26" s="37" t="s">
        <v>776</v>
      </c>
    </row>
    <row r="27" ht="47.25" customHeight="1">
      <c r="A27" s="33">
        <v>4.0</v>
      </c>
      <c r="B27" s="34" t="s">
        <v>550</v>
      </c>
      <c r="C27" s="121" t="s">
        <v>779</v>
      </c>
      <c r="D27" s="36">
        <v>1.0</v>
      </c>
      <c r="E27" s="90" t="s">
        <v>775</v>
      </c>
      <c r="F27" s="117" t="s">
        <v>379</v>
      </c>
      <c r="G27" s="35" t="s">
        <v>64</v>
      </c>
      <c r="H27" s="37" t="s">
        <v>776</v>
      </c>
    </row>
    <row r="28" ht="47.25" customHeight="1">
      <c r="A28" s="33">
        <v>5.0</v>
      </c>
      <c r="B28" s="34" t="s">
        <v>539</v>
      </c>
      <c r="C28" s="121" t="s">
        <v>780</v>
      </c>
      <c r="D28" s="36">
        <v>1.0</v>
      </c>
      <c r="E28" s="90" t="s">
        <v>775</v>
      </c>
      <c r="F28" s="117" t="s">
        <v>379</v>
      </c>
      <c r="G28" s="35" t="s">
        <v>64</v>
      </c>
      <c r="H28" s="37" t="s">
        <v>776</v>
      </c>
    </row>
    <row r="29" ht="47.25" customHeight="1">
      <c r="A29" s="33">
        <v>6.0</v>
      </c>
      <c r="B29" s="34" t="s">
        <v>580</v>
      </c>
      <c r="C29" s="121" t="s">
        <v>781</v>
      </c>
      <c r="D29" s="36">
        <v>1.0</v>
      </c>
      <c r="E29" s="90" t="s">
        <v>775</v>
      </c>
      <c r="F29" s="117" t="s">
        <v>379</v>
      </c>
      <c r="G29" s="35" t="s">
        <v>64</v>
      </c>
      <c r="H29" s="37" t="s">
        <v>776</v>
      </c>
    </row>
    <row r="30" ht="47.25" customHeight="1">
      <c r="A30" s="33">
        <v>7.0</v>
      </c>
      <c r="B30" s="34" t="s">
        <v>566</v>
      </c>
      <c r="C30" s="121" t="s">
        <v>782</v>
      </c>
      <c r="D30" s="90" t="s">
        <v>746</v>
      </c>
      <c r="E30" s="90" t="s">
        <v>775</v>
      </c>
      <c r="F30" s="117" t="s">
        <v>379</v>
      </c>
      <c r="G30" s="35" t="s">
        <v>64</v>
      </c>
      <c r="H30" s="37" t="s">
        <v>776</v>
      </c>
    </row>
    <row r="31" ht="47.25" customHeight="1">
      <c r="A31" s="44">
        <v>8.0</v>
      </c>
      <c r="B31" s="45" t="s">
        <v>574</v>
      </c>
      <c r="C31" s="122" t="s">
        <v>779</v>
      </c>
      <c r="D31" s="47">
        <v>1.0</v>
      </c>
      <c r="E31" s="93" t="s">
        <v>775</v>
      </c>
      <c r="F31" s="123" t="s">
        <v>379</v>
      </c>
      <c r="G31" s="46" t="s">
        <v>64</v>
      </c>
      <c r="H31" s="48" t="s">
        <v>776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10:H10"/>
    <mergeCell ref="A22:H22"/>
  </mergeCells>
  <conditionalFormatting sqref="F3:F31">
    <cfRule type="containsText" dxfId="0" priority="1" stopIfTrue="1" operator="containsText" text="Baseline">
      <formula>NOT(ISERROR(SEARCH(("Baseline"),(F3))))</formula>
    </cfRule>
  </conditionalFormatting>
  <conditionalFormatting sqref="F3:F31">
    <cfRule type="containsText" dxfId="1" priority="2" stopIfTrue="1" operator="containsText" text="Đã thống nhất">
      <formula>NOT(ISERROR(SEARCH(("Đã thống nhất"),(F3))))</formula>
    </cfRule>
  </conditionalFormatting>
  <hyperlinks>
    <hyperlink display="Weapons" location="Weapons!A1" ref="G3"/>
    <hyperlink display="Equipments" location="Equipments!A1" ref="G4"/>
    <hyperlink display="Equipments" location="Equipments!A1" ref="G5"/>
    <hyperlink display="MAP DESIGN" location="'MAP DESIGN'!A1" ref="G6"/>
    <hyperlink display="CORE LOOP" location="'CORE LOOP'!A1" ref="G7"/>
    <hyperlink display="TEST &amp; BALANCE" location="'TEST &amp; BALANCE'!A1" ref="G8"/>
    <hyperlink display="OVERVIEW" location="OVERVIEW!A1" ref="G9"/>
    <hyperlink display="MAP DESIGN" location="'MAP DESIGN'!A1" ref="G12"/>
    <hyperlink display="MAP DESIGN" location="'MAP DESIGN'!A1" ref="G13"/>
    <hyperlink display="MAP DESIGN" location="'MAP DESIGN'!A1" ref="G14"/>
    <hyperlink display="MAP DESIGN" location="'MAP DESIGN'!A1" ref="G15"/>
    <hyperlink display="ITEM LIST" location="'ITEM LIST'!A1" ref="G16"/>
    <hyperlink display="ITEM LIST" location="'ITEM LIST'!A1" ref="G17"/>
    <hyperlink display="ITEM LIST" location="'ITEM LIST'!A1" ref="G18"/>
    <hyperlink display="ITEM LIST" location="'ITEM LIST'!A1" ref="G19"/>
    <hyperlink display="ITEM LIST" location="'ITEM LIST'!A1" ref="G20"/>
    <hyperlink display="ITEM LIST" location="'ITEM LIST'!A1" ref="G21"/>
    <hyperlink display="ITEM LIST" location="'ITEM LIST'!A1" ref="G24"/>
    <hyperlink display="ITEM LIST" location="'ITEM LIST'!A1" ref="G25"/>
    <hyperlink display="ITEM LIST" location="'ITEM LIST'!A1" ref="G26"/>
    <hyperlink display="ITEM LIST" location="'ITEM LIST'!A1" ref="G27"/>
    <hyperlink display="ITEM LIST" location="'ITEM LIST'!A1" ref="G28"/>
    <hyperlink display="ITEM LIST" location="'ITEM LIST'!A1" ref="G29"/>
    <hyperlink display="ITEM LIST" location="'ITEM LIST'!A1" ref="G30"/>
    <hyperlink display="ITEM LIST" location="'ITEM LIST'!A1" ref="G31"/>
  </hyperlinks>
  <printOptions/>
  <pageMargins bottom="1.0" footer="0.0" header="0.0" left="0.75" right="0.75" top="1.0"/>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 width="28.0"/>
    <col customWidth="1" min="3" max="3" width="24.43"/>
    <col customWidth="1" min="4" max="4" width="16.57"/>
    <col customWidth="1" min="5" max="5" width="33.71"/>
    <col customWidth="1" min="6" max="6" width="20.86"/>
    <col customWidth="1" min="7" max="7" width="15.86"/>
    <col customWidth="1" min="8" max="8" width="21.57"/>
    <col customWidth="1" min="9" max="26" width="8.71"/>
  </cols>
  <sheetData>
    <row r="1" ht="31.5" customHeight="1">
      <c r="A1" s="29" t="s">
        <v>401</v>
      </c>
    </row>
    <row r="2" ht="25.5" customHeight="1">
      <c r="A2" s="124" t="s">
        <v>438</v>
      </c>
      <c r="B2" s="31" t="s">
        <v>783</v>
      </c>
      <c r="C2" s="31" t="s">
        <v>784</v>
      </c>
      <c r="D2" s="31" t="s">
        <v>743</v>
      </c>
      <c r="E2" s="31" t="s">
        <v>744</v>
      </c>
      <c r="F2" s="31" t="s">
        <v>364</v>
      </c>
      <c r="G2" s="31" t="s">
        <v>363</v>
      </c>
      <c r="H2" s="32" t="s">
        <v>705</v>
      </c>
    </row>
    <row r="3" ht="47.25" customHeight="1">
      <c r="A3" s="115" t="s">
        <v>785</v>
      </c>
      <c r="B3" s="90" t="s">
        <v>786</v>
      </c>
      <c r="C3" s="36">
        <v>420.0</v>
      </c>
      <c r="D3" s="36" t="s">
        <v>787</v>
      </c>
      <c r="E3" s="90" t="s">
        <v>788</v>
      </c>
      <c r="F3" s="117" t="s">
        <v>379</v>
      </c>
      <c r="G3" s="36"/>
      <c r="H3" s="37"/>
    </row>
    <row r="4" ht="34.5" customHeight="1">
      <c r="A4" s="115" t="s">
        <v>785</v>
      </c>
      <c r="B4" s="90" t="s">
        <v>789</v>
      </c>
      <c r="C4" s="36">
        <v>15.0</v>
      </c>
      <c r="D4" s="36" t="s">
        <v>787</v>
      </c>
      <c r="E4" s="90" t="s">
        <v>790</v>
      </c>
      <c r="F4" s="117" t="s">
        <v>379</v>
      </c>
      <c r="G4" s="36"/>
      <c r="H4" s="37"/>
    </row>
    <row r="5" ht="47.25" customHeight="1">
      <c r="A5" s="115" t="s">
        <v>785</v>
      </c>
      <c r="B5" s="90" t="s">
        <v>791</v>
      </c>
      <c r="C5" s="36">
        <v>10.0</v>
      </c>
      <c r="D5" s="36" t="s">
        <v>792</v>
      </c>
      <c r="E5" s="90" t="s">
        <v>793</v>
      </c>
      <c r="F5" s="117" t="s">
        <v>379</v>
      </c>
      <c r="G5" s="36"/>
      <c r="H5" s="37"/>
    </row>
    <row r="6" ht="34.5" customHeight="1">
      <c r="A6" s="115" t="s">
        <v>785</v>
      </c>
      <c r="B6" s="90" t="s">
        <v>794</v>
      </c>
      <c r="C6" s="36">
        <v>6.0</v>
      </c>
      <c r="D6" s="36" t="s">
        <v>792</v>
      </c>
      <c r="E6" s="90" t="s">
        <v>795</v>
      </c>
      <c r="F6" s="117" t="s">
        <v>379</v>
      </c>
      <c r="G6" s="36"/>
      <c r="H6" s="37"/>
    </row>
    <row r="7" ht="34.5" customHeight="1">
      <c r="A7" s="115" t="s">
        <v>785</v>
      </c>
      <c r="B7" s="90" t="s">
        <v>796</v>
      </c>
      <c r="C7" s="36">
        <v>50.0</v>
      </c>
      <c r="D7" s="36" t="s">
        <v>797</v>
      </c>
      <c r="E7" s="90" t="s">
        <v>798</v>
      </c>
      <c r="F7" s="117" t="s">
        <v>379</v>
      </c>
      <c r="G7" s="36"/>
      <c r="H7" s="37"/>
    </row>
    <row r="8" ht="34.5" customHeight="1">
      <c r="A8" s="115" t="s">
        <v>785</v>
      </c>
      <c r="B8" s="90" t="s">
        <v>799</v>
      </c>
      <c r="C8" s="36">
        <v>48.0</v>
      </c>
      <c r="D8" s="36" t="s">
        <v>800</v>
      </c>
      <c r="E8" s="90" t="s">
        <v>801</v>
      </c>
      <c r="F8" s="117" t="s">
        <v>379</v>
      </c>
      <c r="G8" s="36"/>
      <c r="H8" s="37"/>
    </row>
    <row r="9" ht="34.5" customHeight="1">
      <c r="A9" s="115" t="s">
        <v>785</v>
      </c>
      <c r="B9" s="90" t="s">
        <v>802</v>
      </c>
      <c r="C9" s="36">
        <v>100.0</v>
      </c>
      <c r="D9" s="36" t="s">
        <v>803</v>
      </c>
      <c r="E9" s="90" t="s">
        <v>804</v>
      </c>
      <c r="F9" s="117" t="s">
        <v>379</v>
      </c>
      <c r="G9" s="36"/>
      <c r="H9" s="37"/>
    </row>
    <row r="10" ht="34.5" customHeight="1">
      <c r="A10" s="115" t="s">
        <v>785</v>
      </c>
      <c r="B10" s="90" t="s">
        <v>805</v>
      </c>
      <c r="C10" s="36">
        <v>4.0</v>
      </c>
      <c r="D10" s="36" t="s">
        <v>806</v>
      </c>
      <c r="E10" s="90" t="s">
        <v>807</v>
      </c>
      <c r="F10" s="117" t="s">
        <v>379</v>
      </c>
      <c r="G10" s="36"/>
      <c r="H10" s="37"/>
    </row>
    <row r="11" ht="34.5" customHeight="1">
      <c r="A11" s="115" t="s">
        <v>785</v>
      </c>
      <c r="B11" s="90" t="s">
        <v>808</v>
      </c>
      <c r="C11" s="36">
        <v>0.4</v>
      </c>
      <c r="D11" s="36" t="s">
        <v>797</v>
      </c>
      <c r="E11" s="90" t="s">
        <v>809</v>
      </c>
      <c r="F11" s="117" t="s">
        <v>379</v>
      </c>
      <c r="G11" s="36"/>
      <c r="H11" s="37"/>
    </row>
    <row r="12" ht="47.25" customHeight="1">
      <c r="A12" s="115" t="s">
        <v>785</v>
      </c>
      <c r="B12" s="90" t="s">
        <v>810</v>
      </c>
      <c r="C12" s="36">
        <v>12.0</v>
      </c>
      <c r="D12" s="36" t="s">
        <v>797</v>
      </c>
      <c r="E12" s="90" t="s">
        <v>811</v>
      </c>
      <c r="F12" s="117" t="s">
        <v>379</v>
      </c>
      <c r="G12" s="36"/>
      <c r="H12" s="37"/>
    </row>
    <row r="13" ht="34.5" customHeight="1">
      <c r="A13" s="115" t="s">
        <v>785</v>
      </c>
      <c r="B13" s="90" t="s">
        <v>812</v>
      </c>
      <c r="C13" s="36">
        <v>0.08</v>
      </c>
      <c r="D13" s="36" t="s">
        <v>787</v>
      </c>
      <c r="E13" s="90" t="s">
        <v>813</v>
      </c>
      <c r="F13" s="117" t="s">
        <v>379</v>
      </c>
      <c r="G13" s="36"/>
      <c r="H13" s="37"/>
    </row>
    <row r="14" ht="34.5" customHeight="1">
      <c r="A14" s="115" t="s">
        <v>785</v>
      </c>
      <c r="B14" s="90" t="s">
        <v>814</v>
      </c>
      <c r="C14" s="36">
        <v>0.3</v>
      </c>
      <c r="D14" s="36" t="s">
        <v>787</v>
      </c>
      <c r="E14" s="90" t="s">
        <v>815</v>
      </c>
      <c r="F14" s="117" t="s">
        <v>379</v>
      </c>
      <c r="G14" s="36"/>
      <c r="H14" s="37"/>
    </row>
    <row r="15" ht="34.5" customHeight="1">
      <c r="A15" s="115" t="s">
        <v>785</v>
      </c>
      <c r="B15" s="90" t="s">
        <v>816</v>
      </c>
      <c r="C15" s="36">
        <v>1.2</v>
      </c>
      <c r="D15" s="36" t="s">
        <v>797</v>
      </c>
      <c r="E15" s="90" t="s">
        <v>817</v>
      </c>
      <c r="F15" s="117" t="s">
        <v>379</v>
      </c>
      <c r="G15" s="36"/>
      <c r="H15" s="37"/>
    </row>
    <row r="16" ht="34.5" customHeight="1">
      <c r="A16" s="115" t="s">
        <v>785</v>
      </c>
      <c r="B16" s="90" t="s">
        <v>818</v>
      </c>
      <c r="C16" s="36">
        <v>0.7</v>
      </c>
      <c r="D16" s="36" t="s">
        <v>819</v>
      </c>
      <c r="E16" s="90" t="s">
        <v>820</v>
      </c>
      <c r="F16" s="117" t="s">
        <v>379</v>
      </c>
      <c r="G16" s="36"/>
      <c r="H16" s="37"/>
    </row>
    <row r="17" ht="34.5" customHeight="1">
      <c r="A17" s="115" t="s">
        <v>785</v>
      </c>
      <c r="B17" s="90" t="s">
        <v>821</v>
      </c>
      <c r="C17" s="36" t="s">
        <v>822</v>
      </c>
      <c r="D17" s="36" t="s">
        <v>823</v>
      </c>
      <c r="E17" s="90" t="s">
        <v>824</v>
      </c>
      <c r="F17" s="117" t="s">
        <v>379</v>
      </c>
      <c r="G17" s="36"/>
      <c r="H17" s="37"/>
    </row>
    <row r="18" ht="34.5" customHeight="1">
      <c r="A18" s="115" t="s">
        <v>785</v>
      </c>
      <c r="B18" s="90" t="s">
        <v>825</v>
      </c>
      <c r="C18" s="36">
        <v>1.0</v>
      </c>
      <c r="D18" s="36" t="s">
        <v>806</v>
      </c>
      <c r="E18" s="90" t="s">
        <v>826</v>
      </c>
      <c r="F18" s="117" t="s">
        <v>379</v>
      </c>
      <c r="G18" s="36"/>
      <c r="H18" s="37"/>
    </row>
    <row r="19" ht="34.5" customHeight="1">
      <c r="A19" s="115" t="s">
        <v>785</v>
      </c>
      <c r="B19" s="90" t="s">
        <v>827</v>
      </c>
      <c r="C19" s="36">
        <v>5.0</v>
      </c>
      <c r="D19" s="36" t="s">
        <v>828</v>
      </c>
      <c r="E19" s="90" t="s">
        <v>829</v>
      </c>
      <c r="F19" s="117" t="s">
        <v>379</v>
      </c>
      <c r="G19" s="36"/>
      <c r="H19" s="37"/>
    </row>
    <row r="20" ht="34.5" customHeight="1">
      <c r="A20" s="115" t="s">
        <v>785</v>
      </c>
      <c r="B20" s="90" t="s">
        <v>830</v>
      </c>
      <c r="C20" s="36">
        <v>10.0</v>
      </c>
      <c r="D20" s="36" t="s">
        <v>787</v>
      </c>
      <c r="E20" s="90" t="s">
        <v>831</v>
      </c>
      <c r="F20" s="117" t="s">
        <v>379</v>
      </c>
      <c r="G20" s="36"/>
      <c r="H20" s="37"/>
    </row>
    <row r="21" ht="34.5" customHeight="1">
      <c r="A21" s="115" t="s">
        <v>785</v>
      </c>
      <c r="B21" s="90" t="s">
        <v>832</v>
      </c>
      <c r="C21" s="36">
        <v>10.0</v>
      </c>
      <c r="D21" s="36" t="s">
        <v>787</v>
      </c>
      <c r="E21" s="90" t="s">
        <v>833</v>
      </c>
      <c r="F21" s="117" t="s">
        <v>379</v>
      </c>
      <c r="G21" s="36"/>
      <c r="H21" s="37"/>
    </row>
    <row r="22" ht="34.5" customHeight="1">
      <c r="A22" s="115" t="s">
        <v>785</v>
      </c>
      <c r="B22" s="90" t="s">
        <v>834</v>
      </c>
      <c r="C22" s="36">
        <v>2.0</v>
      </c>
      <c r="D22" s="36" t="s">
        <v>797</v>
      </c>
      <c r="E22" s="90" t="s">
        <v>835</v>
      </c>
      <c r="F22" s="117" t="s">
        <v>379</v>
      </c>
      <c r="G22" s="36"/>
      <c r="H22" s="37"/>
    </row>
    <row r="23" ht="34.5" customHeight="1">
      <c r="A23" s="115" t="s">
        <v>785</v>
      </c>
      <c r="B23" s="90" t="s">
        <v>836</v>
      </c>
      <c r="C23" s="36">
        <v>3.0</v>
      </c>
      <c r="D23" s="36" t="s">
        <v>837</v>
      </c>
      <c r="E23" s="90" t="s">
        <v>838</v>
      </c>
      <c r="F23" s="117" t="s">
        <v>379</v>
      </c>
      <c r="G23" s="36"/>
      <c r="H23" s="37"/>
    </row>
    <row r="24" ht="34.5" customHeight="1">
      <c r="A24" s="115" t="s">
        <v>785</v>
      </c>
      <c r="B24" s="90" t="s">
        <v>839</v>
      </c>
      <c r="C24" s="36">
        <v>3.0</v>
      </c>
      <c r="D24" s="36" t="s">
        <v>797</v>
      </c>
      <c r="E24" s="90" t="s">
        <v>840</v>
      </c>
      <c r="F24" s="117" t="s">
        <v>379</v>
      </c>
      <c r="G24" s="36"/>
      <c r="H24" s="37"/>
    </row>
    <row r="25" ht="34.5" customHeight="1">
      <c r="A25" s="115" t="s">
        <v>785</v>
      </c>
      <c r="B25" s="90" t="s">
        <v>841</v>
      </c>
      <c r="C25" s="36">
        <v>10.0</v>
      </c>
      <c r="D25" s="36" t="s">
        <v>787</v>
      </c>
      <c r="E25" s="90" t="s">
        <v>842</v>
      </c>
      <c r="F25" s="117" t="s">
        <v>379</v>
      </c>
      <c r="G25" s="36"/>
      <c r="H25" s="37"/>
    </row>
    <row r="26" ht="34.5" customHeight="1">
      <c r="A26" s="115" t="s">
        <v>785</v>
      </c>
      <c r="B26" s="90" t="s">
        <v>843</v>
      </c>
      <c r="C26" s="36">
        <v>60.0</v>
      </c>
      <c r="D26" s="36" t="s">
        <v>844</v>
      </c>
      <c r="E26" s="90" t="s">
        <v>845</v>
      </c>
      <c r="F26" s="117" t="s">
        <v>379</v>
      </c>
      <c r="G26" s="36"/>
      <c r="H26" s="37"/>
    </row>
    <row r="27" ht="34.5" customHeight="1">
      <c r="A27" s="115" t="s">
        <v>785</v>
      </c>
      <c r="B27" s="90" t="s">
        <v>846</v>
      </c>
      <c r="C27" s="36">
        <v>90.0</v>
      </c>
      <c r="D27" s="36" t="s">
        <v>844</v>
      </c>
      <c r="E27" s="90" t="s">
        <v>847</v>
      </c>
      <c r="F27" s="117" t="s">
        <v>379</v>
      </c>
      <c r="G27" s="36"/>
      <c r="H27" s="37"/>
    </row>
    <row r="28" ht="34.5" customHeight="1">
      <c r="A28" s="115" t="s">
        <v>785</v>
      </c>
      <c r="B28" s="90" t="s">
        <v>848</v>
      </c>
      <c r="C28" s="36">
        <v>45.0</v>
      </c>
      <c r="D28" s="36" t="s">
        <v>849</v>
      </c>
      <c r="E28" s="90" t="s">
        <v>850</v>
      </c>
      <c r="F28" s="117" t="s">
        <v>379</v>
      </c>
      <c r="G28" s="36"/>
      <c r="H28" s="37"/>
    </row>
    <row r="29" ht="34.5" customHeight="1">
      <c r="A29" s="115" t="s">
        <v>785</v>
      </c>
      <c r="B29" s="90" t="s">
        <v>851</v>
      </c>
      <c r="C29" s="36">
        <v>3.0</v>
      </c>
      <c r="D29" s="36" t="s">
        <v>852</v>
      </c>
      <c r="E29" s="90" t="s">
        <v>853</v>
      </c>
      <c r="F29" s="117" t="s">
        <v>379</v>
      </c>
      <c r="G29" s="36"/>
      <c r="H29" s="37"/>
    </row>
    <row r="30" ht="34.5" customHeight="1">
      <c r="A30" s="115" t="s">
        <v>785</v>
      </c>
      <c r="B30" s="90" t="s">
        <v>854</v>
      </c>
      <c r="C30" s="36">
        <v>20.0</v>
      </c>
      <c r="D30" s="36" t="s">
        <v>787</v>
      </c>
      <c r="E30" s="90" t="s">
        <v>855</v>
      </c>
      <c r="F30" s="117" t="s">
        <v>379</v>
      </c>
      <c r="G30" s="36"/>
      <c r="H30" s="37"/>
    </row>
    <row r="31" ht="34.5" customHeight="1">
      <c r="A31" s="115" t="s">
        <v>785</v>
      </c>
      <c r="B31" s="90" t="s">
        <v>856</v>
      </c>
      <c r="C31" s="36">
        <v>6.0</v>
      </c>
      <c r="D31" s="36" t="s">
        <v>797</v>
      </c>
      <c r="E31" s="90" t="s">
        <v>857</v>
      </c>
      <c r="F31" s="117" t="s">
        <v>379</v>
      </c>
      <c r="G31" s="36"/>
      <c r="H31" s="37"/>
    </row>
    <row r="32" ht="47.25" customHeight="1">
      <c r="A32" s="115" t="s">
        <v>785</v>
      </c>
      <c r="B32" s="90" t="s">
        <v>858</v>
      </c>
      <c r="C32" s="125" t="s">
        <v>859</v>
      </c>
      <c r="D32" s="36" t="s">
        <v>860</v>
      </c>
      <c r="E32" s="90" t="s">
        <v>861</v>
      </c>
      <c r="F32" s="117" t="s">
        <v>379</v>
      </c>
      <c r="G32" s="36"/>
      <c r="H32" s="37"/>
    </row>
    <row r="33" ht="34.5" customHeight="1">
      <c r="A33" s="115" t="s">
        <v>785</v>
      </c>
      <c r="B33" s="90" t="s">
        <v>862</v>
      </c>
      <c r="C33" s="36" t="s">
        <v>863</v>
      </c>
      <c r="D33" s="36" t="s">
        <v>860</v>
      </c>
      <c r="E33" s="90" t="s">
        <v>864</v>
      </c>
      <c r="F33" s="117" t="s">
        <v>379</v>
      </c>
      <c r="G33" s="36"/>
      <c r="H33" s="37"/>
    </row>
    <row r="34" ht="47.25" customHeight="1">
      <c r="A34" s="115" t="s">
        <v>785</v>
      </c>
      <c r="B34" s="90" t="s">
        <v>865</v>
      </c>
      <c r="C34" s="36">
        <v>15.0</v>
      </c>
      <c r="D34" s="36" t="s">
        <v>787</v>
      </c>
      <c r="E34" s="90" t="s">
        <v>866</v>
      </c>
      <c r="F34" s="117" t="s">
        <v>379</v>
      </c>
      <c r="G34" s="36"/>
      <c r="H34" s="37"/>
    </row>
    <row r="35" ht="47.25" customHeight="1">
      <c r="A35" s="115" t="s">
        <v>785</v>
      </c>
      <c r="B35" s="90" t="s">
        <v>867</v>
      </c>
      <c r="C35" s="36">
        <v>0.0</v>
      </c>
      <c r="D35" s="36" t="s">
        <v>787</v>
      </c>
      <c r="E35" s="90" t="s">
        <v>868</v>
      </c>
      <c r="F35" s="117" t="s">
        <v>379</v>
      </c>
      <c r="G35" s="36"/>
      <c r="H35" s="37"/>
    </row>
    <row r="36" ht="34.5" customHeight="1">
      <c r="A36" s="115" t="s">
        <v>785</v>
      </c>
      <c r="B36" s="90" t="s">
        <v>869</v>
      </c>
      <c r="C36" s="36">
        <v>5.0</v>
      </c>
      <c r="D36" s="36" t="s">
        <v>787</v>
      </c>
      <c r="E36" s="90" t="s">
        <v>870</v>
      </c>
      <c r="F36" s="117" t="s">
        <v>379</v>
      </c>
      <c r="G36" s="36"/>
      <c r="H36" s="37"/>
    </row>
    <row r="37" ht="34.5" customHeight="1">
      <c r="A37" s="115" t="s">
        <v>785</v>
      </c>
      <c r="B37" s="90" t="s">
        <v>871</v>
      </c>
      <c r="C37" s="36">
        <v>60.0</v>
      </c>
      <c r="D37" s="36" t="s">
        <v>872</v>
      </c>
      <c r="E37" s="90" t="s">
        <v>873</v>
      </c>
      <c r="F37" s="117" t="s">
        <v>379</v>
      </c>
      <c r="G37" s="36"/>
      <c r="H37" s="37"/>
    </row>
    <row r="38" ht="27.0" customHeight="1">
      <c r="A38" s="38" t="s">
        <v>874</v>
      </c>
      <c r="B38" s="39"/>
      <c r="C38" s="39"/>
      <c r="D38" s="39"/>
      <c r="E38" s="39"/>
      <c r="F38" s="39"/>
      <c r="G38" s="39"/>
      <c r="H38" s="40"/>
    </row>
    <row r="39" ht="39.0" customHeight="1">
      <c r="A39" s="118" t="s">
        <v>875</v>
      </c>
      <c r="B39" s="42" t="s">
        <v>876</v>
      </c>
      <c r="C39" s="42" t="s">
        <v>877</v>
      </c>
      <c r="D39" s="42" t="s">
        <v>878</v>
      </c>
      <c r="E39" s="42" t="s">
        <v>879</v>
      </c>
      <c r="F39" s="42" t="s">
        <v>880</v>
      </c>
      <c r="G39" s="42" t="s">
        <v>881</v>
      </c>
      <c r="H39" s="43" t="s">
        <v>705</v>
      </c>
    </row>
    <row r="40" ht="34.5" customHeight="1">
      <c r="A40" s="115">
        <v>0.0</v>
      </c>
      <c r="B40" s="36">
        <v>0.0</v>
      </c>
      <c r="C40" s="36">
        <v>30.0</v>
      </c>
      <c r="D40" s="36" t="s">
        <v>823</v>
      </c>
      <c r="E40" s="90" t="s">
        <v>823</v>
      </c>
      <c r="F40" s="36">
        <v>25.0</v>
      </c>
      <c r="G40" s="36">
        <v>25.0</v>
      </c>
      <c r="H40" s="126" t="s">
        <v>882</v>
      </c>
    </row>
    <row r="41" ht="34.5" customHeight="1">
      <c r="A41" s="115">
        <v>1.0</v>
      </c>
      <c r="B41" s="36">
        <v>30.0</v>
      </c>
      <c r="C41" s="36">
        <v>90.0</v>
      </c>
      <c r="D41" s="36">
        <v>90.0</v>
      </c>
      <c r="E41" s="36">
        <v>97.0</v>
      </c>
      <c r="F41" s="36">
        <v>25.0</v>
      </c>
      <c r="G41" s="36">
        <v>18.0</v>
      </c>
      <c r="H41" s="126" t="s">
        <v>882</v>
      </c>
    </row>
    <row r="42" ht="34.5" customHeight="1">
      <c r="A42" s="115">
        <v>2.0</v>
      </c>
      <c r="B42" s="36">
        <v>97.0</v>
      </c>
      <c r="C42" s="36">
        <v>182.0</v>
      </c>
      <c r="D42" s="36">
        <v>182.0</v>
      </c>
      <c r="E42" s="36">
        <v>188.0</v>
      </c>
      <c r="F42" s="36">
        <v>18.0</v>
      </c>
      <c r="G42" s="36">
        <v>12.0</v>
      </c>
      <c r="H42" s="126" t="s">
        <v>882</v>
      </c>
    </row>
    <row r="43" ht="34.5" customHeight="1">
      <c r="A43" s="115">
        <v>3.0</v>
      </c>
      <c r="B43" s="36">
        <v>188.0</v>
      </c>
      <c r="C43" s="36">
        <v>268.0</v>
      </c>
      <c r="D43" s="36">
        <v>268.0</v>
      </c>
      <c r="E43" s="36">
        <v>273.0</v>
      </c>
      <c r="F43" s="36">
        <v>12.0</v>
      </c>
      <c r="G43" s="36">
        <v>7.0</v>
      </c>
      <c r="H43" s="126" t="s">
        <v>882</v>
      </c>
    </row>
    <row r="44" ht="34.5" customHeight="1">
      <c r="A44" s="115">
        <v>4.0</v>
      </c>
      <c r="B44" s="36">
        <v>273.0</v>
      </c>
      <c r="C44" s="36">
        <v>343.0</v>
      </c>
      <c r="D44" s="36">
        <v>343.0</v>
      </c>
      <c r="E44" s="36">
        <v>347.0</v>
      </c>
      <c r="F44" s="36">
        <v>7.0</v>
      </c>
      <c r="G44" s="36">
        <v>3.0</v>
      </c>
      <c r="H44" s="126" t="s">
        <v>882</v>
      </c>
    </row>
    <row r="45" ht="34.5" customHeight="1">
      <c r="A45" s="115">
        <v>5.0</v>
      </c>
      <c r="B45" s="36">
        <v>347.0</v>
      </c>
      <c r="C45" s="36">
        <v>387.0</v>
      </c>
      <c r="D45" s="36">
        <v>387.0</v>
      </c>
      <c r="E45" s="36">
        <v>390.0</v>
      </c>
      <c r="F45" s="36">
        <v>3.0</v>
      </c>
      <c r="G45" s="36">
        <v>0.0</v>
      </c>
      <c r="H45" s="126" t="s">
        <v>882</v>
      </c>
    </row>
    <row r="46" ht="34.5" customHeight="1">
      <c r="A46" s="115">
        <v>6.0</v>
      </c>
      <c r="B46" s="36">
        <v>390.0</v>
      </c>
      <c r="C46" s="36">
        <v>420.0</v>
      </c>
      <c r="D46" s="36" t="s">
        <v>823</v>
      </c>
      <c r="E46" s="90" t="s">
        <v>823</v>
      </c>
      <c r="F46" s="36">
        <v>0.0</v>
      </c>
      <c r="G46" s="36">
        <v>0.0</v>
      </c>
      <c r="H46" s="126" t="s">
        <v>882</v>
      </c>
    </row>
    <row r="47" ht="34.5" customHeight="1">
      <c r="A47" s="115">
        <v>0.0</v>
      </c>
      <c r="B47" s="121" t="s">
        <v>883</v>
      </c>
      <c r="C47" s="36">
        <v>420.0</v>
      </c>
      <c r="D47" s="36" t="s">
        <v>884</v>
      </c>
      <c r="E47" s="90"/>
      <c r="F47" s="36"/>
      <c r="G47" s="36"/>
      <c r="H47" s="126" t="s">
        <v>882</v>
      </c>
    </row>
    <row r="48" ht="34.5" customHeight="1">
      <c r="A48" s="115">
        <v>1.0</v>
      </c>
      <c r="B48" s="36">
        <v>110.0</v>
      </c>
      <c r="C48" s="36">
        <v>120.0</v>
      </c>
      <c r="D48" s="36" t="s">
        <v>885</v>
      </c>
      <c r="E48" s="90" t="s">
        <v>752</v>
      </c>
      <c r="F48" s="36"/>
      <c r="G48" s="36"/>
      <c r="H48" s="126" t="s">
        <v>882</v>
      </c>
    </row>
    <row r="49" ht="34.5" customHeight="1">
      <c r="A49" s="115">
        <v>2.0</v>
      </c>
      <c r="B49" s="36">
        <v>230.0</v>
      </c>
      <c r="C49" s="36">
        <v>240.0</v>
      </c>
      <c r="D49" s="36" t="s">
        <v>886</v>
      </c>
      <c r="E49" s="90" t="s">
        <v>752</v>
      </c>
      <c r="F49" s="36"/>
      <c r="G49" s="36"/>
      <c r="H49" s="126" t="s">
        <v>882</v>
      </c>
    </row>
    <row r="50" ht="34.5" customHeight="1">
      <c r="A50" s="115">
        <v>3.0</v>
      </c>
      <c r="B50" s="36">
        <v>320.0</v>
      </c>
      <c r="C50" s="36">
        <v>330.0</v>
      </c>
      <c r="D50" s="36" t="s">
        <v>887</v>
      </c>
      <c r="E50" s="90" t="s">
        <v>752</v>
      </c>
      <c r="F50" s="36"/>
      <c r="G50" s="36"/>
      <c r="H50" s="126" t="s">
        <v>882</v>
      </c>
    </row>
    <row r="51" ht="27.0" customHeight="1">
      <c r="A51" s="38" t="s">
        <v>888</v>
      </c>
      <c r="B51" s="39"/>
      <c r="C51" s="39"/>
      <c r="D51" s="39"/>
      <c r="E51" s="39"/>
      <c r="F51" s="39"/>
      <c r="G51" s="39"/>
      <c r="H51" s="40"/>
    </row>
    <row r="52" ht="25.5" customHeight="1">
      <c r="A52" s="118" t="s">
        <v>889</v>
      </c>
      <c r="B52" s="42" t="s">
        <v>890</v>
      </c>
      <c r="C52" s="42" t="s">
        <v>891</v>
      </c>
      <c r="D52" s="42" t="s">
        <v>892</v>
      </c>
      <c r="E52" s="42" t="s">
        <v>893</v>
      </c>
      <c r="F52" s="42" t="s">
        <v>894</v>
      </c>
      <c r="G52" s="42" t="s">
        <v>364</v>
      </c>
      <c r="H52" s="43" t="s">
        <v>705</v>
      </c>
    </row>
    <row r="53" ht="47.25" customHeight="1">
      <c r="A53" s="115">
        <v>1.0</v>
      </c>
      <c r="B53" s="36">
        <v>110.0</v>
      </c>
      <c r="C53" s="36">
        <v>120.0</v>
      </c>
      <c r="D53" s="125" t="s">
        <v>895</v>
      </c>
      <c r="E53" s="90" t="s">
        <v>885</v>
      </c>
      <c r="F53" s="36" t="s">
        <v>896</v>
      </c>
      <c r="G53" s="117" t="s">
        <v>379</v>
      </c>
      <c r="H53" s="37" t="s">
        <v>897</v>
      </c>
    </row>
    <row r="54" ht="47.25" customHeight="1">
      <c r="A54" s="115">
        <v>2.0</v>
      </c>
      <c r="B54" s="36">
        <v>230.0</v>
      </c>
      <c r="C54" s="36">
        <v>240.0</v>
      </c>
      <c r="D54" s="125" t="s">
        <v>898</v>
      </c>
      <c r="E54" s="90" t="s">
        <v>886</v>
      </c>
      <c r="F54" s="36" t="s">
        <v>896</v>
      </c>
      <c r="G54" s="117" t="s">
        <v>379</v>
      </c>
      <c r="H54" s="37" t="s">
        <v>897</v>
      </c>
    </row>
    <row r="55" ht="47.25" customHeight="1">
      <c r="A55" s="116">
        <v>3.0</v>
      </c>
      <c r="B55" s="47">
        <v>320.0</v>
      </c>
      <c r="C55" s="47">
        <v>330.0</v>
      </c>
      <c r="D55" s="127" t="s">
        <v>899</v>
      </c>
      <c r="E55" s="93" t="s">
        <v>887</v>
      </c>
      <c r="F55" s="47" t="s">
        <v>896</v>
      </c>
      <c r="G55" s="123" t="s">
        <v>379</v>
      </c>
      <c r="H55" s="48" t="s">
        <v>897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H1"/>
    <mergeCell ref="A38:H38"/>
    <mergeCell ref="A51:H51"/>
  </mergeCells>
  <conditionalFormatting sqref="F3:F55">
    <cfRule type="containsText" dxfId="0" priority="1" stopIfTrue="1" operator="containsText" text="Baseline">
      <formula>NOT(ISERROR(SEARCH(("Baseline"),(F3))))</formula>
    </cfRule>
  </conditionalFormatting>
  <conditionalFormatting sqref="F3:F55">
    <cfRule type="containsText" dxfId="1" priority="2" stopIfTrue="1" operator="containsText" text="Đã thống nhất">
      <formula>NOT(ISERROR(SEARCH(("Đã thống nhất"),(F3))))</formula>
    </cfRule>
  </conditionalFormatting>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29"/>
    <col customWidth="1" min="2" max="2" width="24.43"/>
    <col customWidth="1" min="3" max="3" width="19.43"/>
    <col customWidth="1" min="4" max="4" width="29.43"/>
    <col customWidth="1" min="5" max="5" width="30.14"/>
    <col customWidth="1" min="6" max="6" width="27.29"/>
    <col customWidth="1" min="7" max="7" width="26.57"/>
    <col customWidth="1" min="8" max="26" width="8.71"/>
  </cols>
  <sheetData>
    <row r="1" ht="31.5" customHeight="1">
      <c r="A1" s="29" t="s">
        <v>64</v>
      </c>
    </row>
    <row r="2" ht="25.5" customHeight="1">
      <c r="A2" s="30" t="s">
        <v>47</v>
      </c>
      <c r="B2" s="31" t="s">
        <v>900</v>
      </c>
      <c r="C2" s="31" t="s">
        <v>528</v>
      </c>
      <c r="D2" s="31" t="s">
        <v>901</v>
      </c>
      <c r="E2" s="31" t="s">
        <v>902</v>
      </c>
      <c r="F2" s="31" t="s">
        <v>363</v>
      </c>
      <c r="G2" s="32" t="s">
        <v>364</v>
      </c>
    </row>
    <row r="3" ht="34.5" customHeight="1">
      <c r="A3" s="33">
        <v>1.0</v>
      </c>
      <c r="B3" s="34" t="s">
        <v>442</v>
      </c>
      <c r="C3" s="36" t="s">
        <v>903</v>
      </c>
      <c r="D3" s="90" t="s">
        <v>904</v>
      </c>
      <c r="E3" s="90" t="s">
        <v>905</v>
      </c>
      <c r="F3" s="128" t="s">
        <v>906</v>
      </c>
      <c r="G3" s="109" t="s">
        <v>379</v>
      </c>
    </row>
    <row r="4" ht="34.5" customHeight="1">
      <c r="A4" s="33">
        <v>2.0</v>
      </c>
      <c r="B4" s="34" t="s">
        <v>448</v>
      </c>
      <c r="C4" s="36" t="s">
        <v>903</v>
      </c>
      <c r="D4" s="90" t="s">
        <v>907</v>
      </c>
      <c r="E4" s="90" t="s">
        <v>908</v>
      </c>
      <c r="F4" s="128" t="s">
        <v>909</v>
      </c>
      <c r="G4" s="109" t="s">
        <v>379</v>
      </c>
    </row>
    <row r="5" ht="34.5" customHeight="1">
      <c r="A5" s="33">
        <v>3.0</v>
      </c>
      <c r="B5" s="34" t="s">
        <v>453</v>
      </c>
      <c r="C5" s="36" t="s">
        <v>903</v>
      </c>
      <c r="D5" s="90" t="s">
        <v>907</v>
      </c>
      <c r="E5" s="90" t="s">
        <v>910</v>
      </c>
      <c r="F5" s="128" t="s">
        <v>911</v>
      </c>
      <c r="G5" s="109" t="s">
        <v>379</v>
      </c>
    </row>
    <row r="6" ht="34.5" customHeight="1">
      <c r="A6" s="33">
        <v>4.0</v>
      </c>
      <c r="B6" s="34" t="s">
        <v>457</v>
      </c>
      <c r="C6" s="36" t="s">
        <v>903</v>
      </c>
      <c r="D6" s="90" t="s">
        <v>907</v>
      </c>
      <c r="E6" s="90" t="s">
        <v>910</v>
      </c>
      <c r="F6" s="128" t="s">
        <v>912</v>
      </c>
      <c r="G6" s="109" t="s">
        <v>379</v>
      </c>
    </row>
    <row r="7" ht="34.5" customHeight="1">
      <c r="A7" s="33">
        <v>5.0</v>
      </c>
      <c r="B7" s="34" t="s">
        <v>461</v>
      </c>
      <c r="C7" s="36" t="s">
        <v>903</v>
      </c>
      <c r="D7" s="90" t="s">
        <v>913</v>
      </c>
      <c r="E7" s="90" t="s">
        <v>914</v>
      </c>
      <c r="F7" s="128" t="s">
        <v>915</v>
      </c>
      <c r="G7" s="109" t="s">
        <v>379</v>
      </c>
    </row>
    <row r="8" ht="30.0" customHeight="1">
      <c r="A8" s="33">
        <v>6.0</v>
      </c>
      <c r="B8" s="34" t="s">
        <v>465</v>
      </c>
      <c r="C8" s="36" t="s">
        <v>903</v>
      </c>
      <c r="D8" s="90" t="s">
        <v>916</v>
      </c>
      <c r="E8" s="90" t="s">
        <v>917</v>
      </c>
      <c r="F8" s="128" t="s">
        <v>918</v>
      </c>
      <c r="G8" s="109" t="s">
        <v>379</v>
      </c>
    </row>
    <row r="9" ht="30.0" customHeight="1">
      <c r="A9" s="33">
        <v>7.0</v>
      </c>
      <c r="B9" s="34" t="s">
        <v>470</v>
      </c>
      <c r="C9" s="36" t="s">
        <v>903</v>
      </c>
      <c r="D9" s="90" t="s">
        <v>913</v>
      </c>
      <c r="E9" s="90" t="s">
        <v>919</v>
      </c>
      <c r="F9" s="128" t="s">
        <v>920</v>
      </c>
      <c r="G9" s="109" t="s">
        <v>379</v>
      </c>
    </row>
    <row r="10" ht="30.0" customHeight="1">
      <c r="A10" s="33">
        <v>8.0</v>
      </c>
      <c r="B10" s="34" t="s">
        <v>477</v>
      </c>
      <c r="C10" s="36" t="s">
        <v>903</v>
      </c>
      <c r="D10" s="90" t="s">
        <v>913</v>
      </c>
      <c r="E10" s="90" t="s">
        <v>919</v>
      </c>
      <c r="F10" s="128" t="s">
        <v>921</v>
      </c>
      <c r="G10" s="109" t="s">
        <v>379</v>
      </c>
    </row>
    <row r="11" ht="30.0" customHeight="1">
      <c r="A11" s="33">
        <v>9.0</v>
      </c>
      <c r="B11" s="34" t="s">
        <v>481</v>
      </c>
      <c r="C11" s="36" t="s">
        <v>903</v>
      </c>
      <c r="D11" s="90" t="s">
        <v>913</v>
      </c>
      <c r="E11" s="90" t="s">
        <v>919</v>
      </c>
      <c r="F11" s="128" t="s">
        <v>922</v>
      </c>
      <c r="G11" s="109" t="s">
        <v>379</v>
      </c>
    </row>
    <row r="12" ht="34.5" customHeight="1">
      <c r="A12" s="44">
        <v>10.0</v>
      </c>
      <c r="B12" s="45" t="s">
        <v>486</v>
      </c>
      <c r="C12" s="47" t="s">
        <v>903</v>
      </c>
      <c r="D12" s="93" t="s">
        <v>923</v>
      </c>
      <c r="E12" s="93" t="s">
        <v>919</v>
      </c>
      <c r="F12" s="129" t="s">
        <v>924</v>
      </c>
      <c r="G12" s="101" t="s">
        <v>379</v>
      </c>
    </row>
    <row r="13" ht="47.25" customHeight="1">
      <c r="A13" s="103">
        <v>11.0</v>
      </c>
      <c r="B13" s="104" t="s">
        <v>925</v>
      </c>
      <c r="C13" s="105" t="s">
        <v>926</v>
      </c>
      <c r="D13" s="106" t="s">
        <v>927</v>
      </c>
      <c r="E13" s="106" t="s">
        <v>928</v>
      </c>
      <c r="F13" s="130" t="s">
        <v>929</v>
      </c>
      <c r="G13" s="131" t="s">
        <v>379</v>
      </c>
    </row>
    <row r="14" ht="34.5" customHeight="1">
      <c r="A14" s="95">
        <v>12.0</v>
      </c>
      <c r="B14" s="102" t="s">
        <v>491</v>
      </c>
      <c r="C14" s="97" t="s">
        <v>903</v>
      </c>
      <c r="D14" s="98" t="s">
        <v>907</v>
      </c>
      <c r="E14" s="98" t="s">
        <v>930</v>
      </c>
      <c r="F14" s="132" t="s">
        <v>931</v>
      </c>
      <c r="G14" s="110" t="s">
        <v>379</v>
      </c>
    </row>
    <row r="15" ht="34.5" customHeight="1">
      <c r="A15" s="33">
        <v>13.0</v>
      </c>
      <c r="B15" s="34" t="s">
        <v>496</v>
      </c>
      <c r="C15" s="36" t="s">
        <v>903</v>
      </c>
      <c r="D15" s="90" t="s">
        <v>913</v>
      </c>
      <c r="E15" s="90" t="s">
        <v>932</v>
      </c>
      <c r="F15" s="128" t="s">
        <v>933</v>
      </c>
      <c r="G15" s="109" t="s">
        <v>379</v>
      </c>
    </row>
    <row r="16" ht="30.0" customHeight="1">
      <c r="A16" s="33">
        <v>14.0</v>
      </c>
      <c r="B16" s="34" t="s">
        <v>500</v>
      </c>
      <c r="C16" s="36" t="s">
        <v>903</v>
      </c>
      <c r="D16" s="90" t="s">
        <v>913</v>
      </c>
      <c r="E16" s="90" t="s">
        <v>934</v>
      </c>
      <c r="F16" s="128" t="s">
        <v>935</v>
      </c>
      <c r="G16" s="109" t="s">
        <v>379</v>
      </c>
    </row>
    <row r="17" ht="30.0" customHeight="1">
      <c r="A17" s="33">
        <v>15.0</v>
      </c>
      <c r="B17" s="34" t="s">
        <v>504</v>
      </c>
      <c r="C17" s="36" t="s">
        <v>903</v>
      </c>
      <c r="D17" s="90" t="s">
        <v>913</v>
      </c>
      <c r="E17" s="90" t="s">
        <v>936</v>
      </c>
      <c r="F17" s="128" t="s">
        <v>937</v>
      </c>
      <c r="G17" s="109" t="s">
        <v>379</v>
      </c>
    </row>
    <row r="18" ht="34.5" customHeight="1">
      <c r="A18" s="33">
        <v>16.0</v>
      </c>
      <c r="B18" s="34" t="s">
        <v>509</v>
      </c>
      <c r="C18" s="36" t="s">
        <v>903</v>
      </c>
      <c r="D18" s="90" t="s">
        <v>907</v>
      </c>
      <c r="E18" s="90" t="s">
        <v>938</v>
      </c>
      <c r="F18" s="128" t="s">
        <v>939</v>
      </c>
      <c r="G18" s="109" t="s">
        <v>379</v>
      </c>
    </row>
    <row r="19" ht="34.5" customHeight="1">
      <c r="A19" s="33">
        <v>17.0</v>
      </c>
      <c r="B19" s="34" t="s">
        <v>513</v>
      </c>
      <c r="C19" s="36" t="s">
        <v>903</v>
      </c>
      <c r="D19" s="90" t="s">
        <v>913</v>
      </c>
      <c r="E19" s="90" t="s">
        <v>940</v>
      </c>
      <c r="F19" s="128" t="s">
        <v>941</v>
      </c>
      <c r="G19" s="109" t="s">
        <v>379</v>
      </c>
    </row>
    <row r="20" ht="34.5" customHeight="1">
      <c r="A20" s="33">
        <v>18.0</v>
      </c>
      <c r="B20" s="34" t="s">
        <v>519</v>
      </c>
      <c r="C20" s="36" t="s">
        <v>903</v>
      </c>
      <c r="D20" s="90" t="s">
        <v>913</v>
      </c>
      <c r="E20" s="90" t="s">
        <v>942</v>
      </c>
      <c r="F20" s="128" t="s">
        <v>943</v>
      </c>
      <c r="G20" s="109" t="s">
        <v>379</v>
      </c>
    </row>
    <row r="21" ht="34.5" customHeight="1">
      <c r="A21" s="44">
        <v>19.0</v>
      </c>
      <c r="B21" s="45" t="s">
        <v>524</v>
      </c>
      <c r="C21" s="47" t="s">
        <v>903</v>
      </c>
      <c r="D21" s="93" t="s">
        <v>913</v>
      </c>
      <c r="E21" s="93" t="s">
        <v>944</v>
      </c>
      <c r="F21" s="129" t="s">
        <v>945</v>
      </c>
      <c r="G21" s="101" t="s">
        <v>379</v>
      </c>
    </row>
    <row r="22" ht="34.5" customHeight="1">
      <c r="A22" s="95">
        <v>20.0</v>
      </c>
      <c r="B22" s="102" t="s">
        <v>531</v>
      </c>
      <c r="C22" s="97" t="s">
        <v>544</v>
      </c>
      <c r="D22" s="98" t="s">
        <v>907</v>
      </c>
      <c r="E22" s="98" t="s">
        <v>946</v>
      </c>
      <c r="F22" s="132" t="s">
        <v>947</v>
      </c>
      <c r="G22" s="110" t="s">
        <v>379</v>
      </c>
    </row>
    <row r="23" ht="30.0" customHeight="1">
      <c r="A23" s="33">
        <v>21.0</v>
      </c>
      <c r="B23" s="34" t="s">
        <v>536</v>
      </c>
      <c r="C23" s="36" t="s">
        <v>544</v>
      </c>
      <c r="D23" s="90" t="s">
        <v>913</v>
      </c>
      <c r="E23" s="90" t="s">
        <v>948</v>
      </c>
      <c r="F23" s="128" t="s">
        <v>949</v>
      </c>
      <c r="G23" s="109" t="s">
        <v>379</v>
      </c>
    </row>
    <row r="24" ht="34.5" customHeight="1">
      <c r="A24" s="33">
        <v>22.0</v>
      </c>
      <c r="B24" s="34" t="s">
        <v>539</v>
      </c>
      <c r="C24" s="36" t="s">
        <v>544</v>
      </c>
      <c r="D24" s="90" t="s">
        <v>950</v>
      </c>
      <c r="E24" s="90" t="s">
        <v>951</v>
      </c>
      <c r="F24" s="128" t="s">
        <v>952</v>
      </c>
      <c r="G24" s="109" t="s">
        <v>379</v>
      </c>
    </row>
    <row r="25" ht="34.5" customHeight="1">
      <c r="A25" s="33">
        <v>23.0</v>
      </c>
      <c r="B25" s="34" t="s">
        <v>542</v>
      </c>
      <c r="C25" s="36" t="s">
        <v>544</v>
      </c>
      <c r="D25" s="90" t="s">
        <v>907</v>
      </c>
      <c r="E25" s="90" t="s">
        <v>948</v>
      </c>
      <c r="F25" s="128" t="s">
        <v>953</v>
      </c>
      <c r="G25" s="109" t="s">
        <v>379</v>
      </c>
    </row>
    <row r="26" ht="30.0" customHeight="1">
      <c r="A26" s="33">
        <v>24.0</v>
      </c>
      <c r="B26" s="34" t="s">
        <v>546</v>
      </c>
      <c r="C26" s="36" t="s">
        <v>544</v>
      </c>
      <c r="D26" s="90" t="s">
        <v>913</v>
      </c>
      <c r="E26" s="90" t="s">
        <v>954</v>
      </c>
      <c r="F26" s="128" t="s">
        <v>955</v>
      </c>
      <c r="G26" s="109" t="s">
        <v>379</v>
      </c>
    </row>
    <row r="27" ht="34.5" customHeight="1">
      <c r="A27" s="44">
        <v>25.0</v>
      </c>
      <c r="B27" s="45" t="s">
        <v>550</v>
      </c>
      <c r="C27" s="47" t="s">
        <v>544</v>
      </c>
      <c r="D27" s="93" t="s">
        <v>956</v>
      </c>
      <c r="E27" s="93" t="s">
        <v>957</v>
      </c>
      <c r="F27" s="129" t="s">
        <v>958</v>
      </c>
      <c r="G27" s="101" t="s">
        <v>379</v>
      </c>
    </row>
    <row r="28" ht="34.5" customHeight="1">
      <c r="A28" s="95">
        <v>26.0</v>
      </c>
      <c r="B28" s="102" t="s">
        <v>553</v>
      </c>
      <c r="C28" s="97" t="s">
        <v>926</v>
      </c>
      <c r="D28" s="98" t="s">
        <v>907</v>
      </c>
      <c r="E28" s="98" t="s">
        <v>959</v>
      </c>
      <c r="F28" s="132" t="s">
        <v>960</v>
      </c>
      <c r="G28" s="110" t="s">
        <v>379</v>
      </c>
    </row>
    <row r="29" ht="34.5" customHeight="1">
      <c r="A29" s="33">
        <v>27.0</v>
      </c>
      <c r="B29" s="34" t="s">
        <v>557</v>
      </c>
      <c r="C29" s="36" t="s">
        <v>926</v>
      </c>
      <c r="D29" s="90" t="s">
        <v>907</v>
      </c>
      <c r="E29" s="90" t="s">
        <v>961</v>
      </c>
      <c r="F29" s="128" t="s">
        <v>962</v>
      </c>
      <c r="G29" s="109" t="s">
        <v>379</v>
      </c>
    </row>
    <row r="30" ht="30.0" customHeight="1">
      <c r="A30" s="33">
        <v>28.0</v>
      </c>
      <c r="B30" s="34" t="s">
        <v>560</v>
      </c>
      <c r="C30" s="36" t="s">
        <v>926</v>
      </c>
      <c r="D30" s="90" t="s">
        <v>913</v>
      </c>
      <c r="E30" s="90" t="s">
        <v>963</v>
      </c>
      <c r="F30" s="128" t="s">
        <v>964</v>
      </c>
      <c r="G30" s="109" t="s">
        <v>379</v>
      </c>
    </row>
    <row r="31" ht="30.0" customHeight="1">
      <c r="A31" s="33">
        <v>29.0</v>
      </c>
      <c r="B31" s="34" t="s">
        <v>563</v>
      </c>
      <c r="C31" s="36" t="s">
        <v>926</v>
      </c>
      <c r="D31" s="90" t="s">
        <v>913</v>
      </c>
      <c r="E31" s="90" t="s">
        <v>965</v>
      </c>
      <c r="F31" s="128" t="s">
        <v>966</v>
      </c>
      <c r="G31" s="109" t="s">
        <v>379</v>
      </c>
    </row>
    <row r="32" ht="34.5" customHeight="1">
      <c r="A32" s="33">
        <v>30.0</v>
      </c>
      <c r="B32" s="34" t="s">
        <v>566</v>
      </c>
      <c r="C32" s="36" t="s">
        <v>926</v>
      </c>
      <c r="D32" s="90" t="s">
        <v>967</v>
      </c>
      <c r="E32" s="90" t="s">
        <v>968</v>
      </c>
      <c r="F32" s="128" t="s">
        <v>969</v>
      </c>
      <c r="G32" s="109" t="s">
        <v>379</v>
      </c>
    </row>
    <row r="33" ht="34.5" customHeight="1">
      <c r="A33" s="33">
        <v>31.0</v>
      </c>
      <c r="B33" s="34" t="s">
        <v>570</v>
      </c>
      <c r="C33" s="36" t="s">
        <v>926</v>
      </c>
      <c r="D33" s="90" t="s">
        <v>907</v>
      </c>
      <c r="E33" s="90" t="s">
        <v>970</v>
      </c>
      <c r="F33" s="128" t="s">
        <v>971</v>
      </c>
      <c r="G33" s="109" t="s">
        <v>379</v>
      </c>
    </row>
    <row r="34" ht="34.5" customHeight="1">
      <c r="A34" s="33">
        <v>32.0</v>
      </c>
      <c r="B34" s="34" t="s">
        <v>574</v>
      </c>
      <c r="C34" s="36" t="s">
        <v>926</v>
      </c>
      <c r="D34" s="90" t="s">
        <v>972</v>
      </c>
      <c r="E34" s="90" t="s">
        <v>973</v>
      </c>
      <c r="F34" s="128" t="s">
        <v>974</v>
      </c>
      <c r="G34" s="109" t="s">
        <v>379</v>
      </c>
    </row>
    <row r="35" ht="30.0" customHeight="1">
      <c r="A35" s="33">
        <v>33.0</v>
      </c>
      <c r="B35" s="34" t="s">
        <v>577</v>
      </c>
      <c r="C35" s="36" t="s">
        <v>926</v>
      </c>
      <c r="D35" s="90" t="s">
        <v>913</v>
      </c>
      <c r="E35" s="90" t="s">
        <v>975</v>
      </c>
      <c r="F35" s="128" t="s">
        <v>976</v>
      </c>
      <c r="G35" s="109" t="s">
        <v>379</v>
      </c>
    </row>
    <row r="36" ht="34.5" customHeight="1">
      <c r="A36" s="33">
        <v>34.0</v>
      </c>
      <c r="B36" s="34" t="s">
        <v>580</v>
      </c>
      <c r="C36" s="36" t="s">
        <v>926</v>
      </c>
      <c r="D36" s="90" t="s">
        <v>977</v>
      </c>
      <c r="E36" s="90" t="s">
        <v>978</v>
      </c>
      <c r="F36" s="128" t="s">
        <v>979</v>
      </c>
      <c r="G36" s="109" t="s">
        <v>379</v>
      </c>
    </row>
    <row r="37" ht="30.0" customHeight="1">
      <c r="A37" s="44">
        <v>35.0</v>
      </c>
      <c r="B37" s="45" t="s">
        <v>586</v>
      </c>
      <c r="C37" s="47" t="s">
        <v>926</v>
      </c>
      <c r="D37" s="93" t="s">
        <v>916</v>
      </c>
      <c r="E37" s="93" t="s">
        <v>980</v>
      </c>
      <c r="F37" s="129" t="s">
        <v>981</v>
      </c>
      <c r="G37" s="101" t="s">
        <v>379</v>
      </c>
    </row>
    <row r="38" ht="15.75" customHeight="1"/>
    <row r="39" ht="15.75" customHeight="1"/>
    <row r="40" ht="30.0"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conditionalFormatting sqref="G3:G37">
    <cfRule type="containsText" dxfId="0" priority="1" stopIfTrue="1" operator="containsText" text="Baseline">
      <formula>NOT(ISERROR(SEARCH(("Baseline"),(G3))))</formula>
    </cfRule>
  </conditionalFormatting>
  <conditionalFormatting sqref="G3:G37">
    <cfRule type="containsText" dxfId="1" priority="2" stopIfTrue="1" operator="containsText" text="Đã thống nhất">
      <formula>NOT(ISERROR(SEARCH(("Đã thống nhất"),(G3))))</formula>
    </cfRule>
  </conditionalFormatting>
  <hyperlinks>
    <hyperlink display="Weapons › 1" location="Weapons!A3" ref="F3"/>
    <hyperlink display="Weapons › 2" location="Weapons!A4" ref="F4"/>
    <hyperlink display="Weapons › 3" location="Weapons!A5" ref="F5"/>
    <hyperlink display="Weapons › 4" location="Weapons!A6" ref="F6"/>
    <hyperlink display="Weapons › 5" location="Weapons!A7" ref="F7"/>
    <hyperlink display="Weapons › 6" location="Weapons!A8" ref="F8"/>
    <hyperlink display="Weapons › 7" location="Weapons!A9" ref="F9"/>
    <hyperlink display="Weapons › 8" location="Weapons!A10" ref="F10"/>
    <hyperlink display="Weapons › 9" location="Weapons!A11" ref="F11"/>
    <hyperlink display="Weapons › 10" location="Weapons!A12" ref="F12"/>
    <hyperlink display="Weapons › Guns" location="Weapons!A1" ref="F13"/>
    <hyperlink display="Weapons › 11" location="Weapons!A13" ref="F14"/>
    <hyperlink display="Weapons › 12" location="Weapons!A14" ref="F15"/>
    <hyperlink display="Weapons › 13" location="Weapons!A15" ref="F16"/>
    <hyperlink display="Weapons › 14" location="Weapons!A16" ref="F17"/>
    <hyperlink display="Weapons › 15" location="Weapons!A17" ref="F18"/>
    <hyperlink display="Weapons › 16" location="Weapons!A18" ref="F19"/>
    <hyperlink display="Weapons › 17" location="Weapons!A19" ref="F20"/>
    <hyperlink display="Weapons › 18" location="Weapons!A20" ref="F21"/>
    <hyperlink display="Equipments › 1" location="Equipments!A3" ref="F22"/>
    <hyperlink display="Equipments › 2" location="Equipments!A4" ref="F23"/>
    <hyperlink display="Equipments › 3" location="Equipments!A5" ref="F24"/>
    <hyperlink display="Equipments › 4" location="Equipments!A6" ref="F25"/>
    <hyperlink display="Equipments › 5" location="Equipments!A7" ref="F26"/>
    <hyperlink display="Equipments › 6" location="Equipments!A8" ref="F27"/>
    <hyperlink display="Equipments › 7" location="Equipments!A9" ref="F28"/>
    <hyperlink display="Equipments › 8" location="Equipments!A10" ref="F29"/>
    <hyperlink display="Equipments › 9" location="Equipments!A11" ref="F30"/>
    <hyperlink display="Equipments › 10" location="Equipments!A12" ref="F31"/>
    <hyperlink display="Equipments › 11" location="Equipments!A13" ref="F32"/>
    <hyperlink display="Equipments › 12" location="Equipments!A14" ref="F33"/>
    <hyperlink display="Equipments › 13" location="Equipments!A15" ref="F34"/>
    <hyperlink display="Equipments › 14" location="Equipments!A16" ref="F35"/>
    <hyperlink display="Equipments › 15" location="Equipments!A17" ref="F36"/>
    <hyperlink display="Equipments › 16" location="Equipments!A18" ref="F37"/>
  </hyperlinks>
  <printOptions/>
  <pageMargins bottom="1.0" footer="0.0" header="0.0" left="0.75" right="0.75" top="1.0"/>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86"/>
    <col customWidth="1" min="2" max="2" width="30.14"/>
    <col customWidth="1" min="3" max="3" width="17.29"/>
    <col customWidth="1" min="4" max="4" width="40.14"/>
    <col customWidth="1" min="5" max="5" width="21.57"/>
    <col customWidth="1" min="6" max="6" width="23.0"/>
    <col customWidth="1" min="7" max="7" width="28.71"/>
    <col customWidth="1" min="8" max="26" width="8.71"/>
  </cols>
  <sheetData>
    <row r="1" ht="31.5" customHeight="1">
      <c r="A1" s="29" t="s">
        <v>77</v>
      </c>
    </row>
    <row r="2" ht="25.5" customHeight="1">
      <c r="A2" s="30" t="s">
        <v>47</v>
      </c>
      <c r="B2" s="31" t="s">
        <v>982</v>
      </c>
      <c r="C2" s="31" t="s">
        <v>983</v>
      </c>
      <c r="D2" s="31" t="s">
        <v>984</v>
      </c>
      <c r="E2" s="31" t="s">
        <v>363</v>
      </c>
      <c r="F2" s="31" t="s">
        <v>985</v>
      </c>
      <c r="G2" s="32" t="s">
        <v>986</v>
      </c>
    </row>
    <row r="3" ht="30.0" customHeight="1">
      <c r="A3" s="33">
        <v>1.0</v>
      </c>
      <c r="B3" s="34" t="s">
        <v>987</v>
      </c>
      <c r="C3" s="36" t="s">
        <v>988</v>
      </c>
      <c r="D3" s="90" t="s">
        <v>989</v>
      </c>
      <c r="E3" s="35" t="s">
        <v>63</v>
      </c>
      <c r="F3" s="36" t="s">
        <v>990</v>
      </c>
      <c r="G3" s="91"/>
    </row>
    <row r="4" ht="34.5" customHeight="1">
      <c r="A4" s="33">
        <v>2.0</v>
      </c>
      <c r="B4" s="34" t="s">
        <v>991</v>
      </c>
      <c r="C4" s="36" t="s">
        <v>988</v>
      </c>
      <c r="D4" s="90" t="s">
        <v>992</v>
      </c>
      <c r="E4" s="35" t="s">
        <v>81</v>
      </c>
      <c r="F4" s="36" t="s">
        <v>990</v>
      </c>
      <c r="G4" s="91"/>
    </row>
    <row r="5" ht="34.5" customHeight="1">
      <c r="A5" s="33">
        <v>3.0</v>
      </c>
      <c r="B5" s="34" t="s">
        <v>993</v>
      </c>
      <c r="C5" s="36" t="s">
        <v>988</v>
      </c>
      <c r="D5" s="90" t="s">
        <v>994</v>
      </c>
      <c r="E5" s="35" t="s">
        <v>81</v>
      </c>
      <c r="F5" s="36" t="s">
        <v>990</v>
      </c>
      <c r="G5" s="91"/>
    </row>
    <row r="6" ht="30.0" customHeight="1">
      <c r="A6" s="33">
        <v>4.0</v>
      </c>
      <c r="B6" s="34" t="s">
        <v>995</v>
      </c>
      <c r="C6" s="36" t="s">
        <v>996</v>
      </c>
      <c r="D6" s="90" t="s">
        <v>997</v>
      </c>
      <c r="E6" s="35" t="s">
        <v>64</v>
      </c>
      <c r="F6" s="36" t="s">
        <v>998</v>
      </c>
      <c r="G6" s="91"/>
    </row>
    <row r="7" ht="34.5" customHeight="1">
      <c r="A7" s="33">
        <v>5.0</v>
      </c>
      <c r="B7" s="34" t="s">
        <v>999</v>
      </c>
      <c r="C7" s="36" t="s">
        <v>988</v>
      </c>
      <c r="D7" s="90" t="s">
        <v>1000</v>
      </c>
      <c r="E7" s="35" t="s">
        <v>80</v>
      </c>
      <c r="F7" s="36" t="s">
        <v>1001</v>
      </c>
      <c r="G7" s="91"/>
    </row>
    <row r="8" ht="34.5" customHeight="1">
      <c r="A8" s="33">
        <v>6.0</v>
      </c>
      <c r="B8" s="34" t="s">
        <v>1002</v>
      </c>
      <c r="C8" s="36" t="s">
        <v>996</v>
      </c>
      <c r="D8" s="90" t="s">
        <v>1003</v>
      </c>
      <c r="E8" s="35" t="s">
        <v>46</v>
      </c>
      <c r="F8" s="36" t="s">
        <v>990</v>
      </c>
      <c r="G8" s="91"/>
    </row>
    <row r="9" ht="34.5" customHeight="1">
      <c r="A9" s="33">
        <v>7.0</v>
      </c>
      <c r="B9" s="34" t="s">
        <v>1004</v>
      </c>
      <c r="C9" s="36" t="s">
        <v>988</v>
      </c>
      <c r="D9" s="90" t="s">
        <v>1005</v>
      </c>
      <c r="E9" s="35" t="s">
        <v>81</v>
      </c>
      <c r="F9" s="36" t="s">
        <v>1006</v>
      </c>
      <c r="G9" s="91"/>
    </row>
    <row r="10" ht="47.25" customHeight="1">
      <c r="A10" s="33">
        <v>8.0</v>
      </c>
      <c r="B10" s="34" t="s">
        <v>1007</v>
      </c>
      <c r="C10" s="36" t="s">
        <v>1008</v>
      </c>
      <c r="D10" s="90" t="s">
        <v>1009</v>
      </c>
      <c r="E10" s="35" t="s">
        <v>81</v>
      </c>
      <c r="F10" s="36" t="s">
        <v>1010</v>
      </c>
      <c r="G10" s="91"/>
    </row>
    <row r="11" ht="34.5" customHeight="1">
      <c r="A11" s="33">
        <v>9.0</v>
      </c>
      <c r="B11" s="34" t="s">
        <v>1011</v>
      </c>
      <c r="C11" s="36" t="s">
        <v>1012</v>
      </c>
      <c r="D11" s="90" t="s">
        <v>1013</v>
      </c>
      <c r="E11" s="35" t="s">
        <v>81</v>
      </c>
      <c r="F11" s="36" t="s">
        <v>990</v>
      </c>
      <c r="G11" s="91"/>
    </row>
    <row r="12" ht="34.5" customHeight="1">
      <c r="A12" s="33">
        <v>10.0</v>
      </c>
      <c r="B12" s="34" t="s">
        <v>1014</v>
      </c>
      <c r="C12" s="36" t="s">
        <v>1012</v>
      </c>
      <c r="D12" s="90" t="s">
        <v>1015</v>
      </c>
      <c r="E12" s="35" t="s">
        <v>80</v>
      </c>
      <c r="F12" s="36" t="s">
        <v>998</v>
      </c>
      <c r="G12" s="91"/>
    </row>
    <row r="13" ht="30.0" customHeight="1">
      <c r="A13" s="33">
        <v>11.0</v>
      </c>
      <c r="B13" s="34" t="s">
        <v>1016</v>
      </c>
      <c r="C13" s="36" t="s">
        <v>1012</v>
      </c>
      <c r="D13" s="90" t="s">
        <v>1017</v>
      </c>
      <c r="E13" s="35" t="s">
        <v>46</v>
      </c>
      <c r="F13" s="36" t="s">
        <v>990</v>
      </c>
      <c r="G13" s="91"/>
    </row>
    <row r="14" ht="34.5" customHeight="1">
      <c r="A14" s="33">
        <v>12.0</v>
      </c>
      <c r="B14" s="34" t="s">
        <v>1018</v>
      </c>
      <c r="C14" s="36" t="s">
        <v>1012</v>
      </c>
      <c r="D14" s="90" t="s">
        <v>1019</v>
      </c>
      <c r="E14" s="35" t="s">
        <v>375</v>
      </c>
      <c r="F14" s="36" t="s">
        <v>990</v>
      </c>
      <c r="G14" s="91"/>
    </row>
    <row r="15" ht="34.5" customHeight="1">
      <c r="A15" s="33">
        <v>13.0</v>
      </c>
      <c r="B15" s="34" t="s">
        <v>1020</v>
      </c>
      <c r="C15" s="36" t="s">
        <v>1012</v>
      </c>
      <c r="D15" s="90" t="s">
        <v>1021</v>
      </c>
      <c r="E15" s="35" t="s">
        <v>46</v>
      </c>
      <c r="F15" s="36" t="s">
        <v>990</v>
      </c>
      <c r="G15" s="91"/>
    </row>
    <row r="16" ht="34.5" customHeight="1">
      <c r="A16" s="44">
        <v>14.0</v>
      </c>
      <c r="B16" s="45" t="s">
        <v>1022</v>
      </c>
      <c r="C16" s="47" t="s">
        <v>1023</v>
      </c>
      <c r="D16" s="93" t="s">
        <v>1024</v>
      </c>
      <c r="E16" s="46" t="s">
        <v>53</v>
      </c>
      <c r="F16" s="47" t="s">
        <v>739</v>
      </c>
      <c r="G16" s="94"/>
    </row>
    <row r="18" ht="19.5" customHeight="1"/>
    <row r="19" ht="30.0" customHeight="1"/>
    <row r="21" ht="15.75" customHeight="1"/>
    <row r="22" ht="15.75" customHeight="1"/>
    <row r="23" ht="15.75" customHeight="1"/>
    <row r="24" ht="15.75" customHeight="1"/>
    <row r="25" ht="15.75" customHeight="1"/>
    <row r="26" ht="15.75" customHeight="1"/>
    <row r="27" ht="30.0"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hyperlinks>
    <hyperlink display="CORE LOOP" location="'CORE LOOP'!A1" ref="E3"/>
    <hyperlink display="MAP DESIGN" location="'MAP DESIGN'!A1" ref="E4"/>
    <hyperlink display="MAP DESIGN" location="'MAP DESIGN'!A1" ref="E5"/>
    <hyperlink display="ITEM LIST" location="'ITEM LIST'!A1" ref="E6"/>
    <hyperlink display="Weapons" location="Weapons!A1" ref="E7"/>
    <hyperlink display="WIREFRAME" location="WIREFRAME!A1" ref="E8"/>
    <hyperlink display="MAP DESIGN" location="'MAP DESIGN'!A1" ref="E9"/>
    <hyperlink display="MAP DESIGN" location="'MAP DESIGN'!A1" ref="E10"/>
    <hyperlink display="MAP DESIGN" location="'MAP DESIGN'!A1" ref="E11"/>
    <hyperlink display="Weapons" location="Weapons!A1" ref="E12"/>
    <hyperlink display="WIREFRAME" location="WIREFRAME!A1" ref="E13"/>
    <hyperlink display="Equipments" location="Equipments!A1" ref="E14"/>
    <hyperlink display="WIREFRAME" location="WIREFRAME!A1" ref="E15"/>
    <hyperlink display="OVERVIEW" location="OVERVIEW!A1" ref="E16"/>
  </hyperlinks>
  <printOptions/>
  <pageMargins bottom="1.0" footer="0.0" header="0.0" left="0.75" right="0.75" top="1.0"/>
  <pageSetup orientation="landscape"/>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0"/>
    <col customWidth="1" min="2" max="2" width="25.86"/>
    <col customWidth="1" min="3" max="3" width="38.71"/>
    <col customWidth="1" min="4" max="4" width="58.86"/>
    <col customWidth="1" min="5" max="5" width="18.71"/>
    <col customWidth="1" min="6" max="6" width="21.57"/>
    <col customWidth="1" min="7" max="7" width="20.14"/>
    <col customWidth="1" min="8" max="26" width="8.71"/>
  </cols>
  <sheetData>
    <row r="1" ht="31.5" customHeight="1">
      <c r="A1" s="29" t="s">
        <v>435</v>
      </c>
    </row>
    <row r="2" ht="39.0" customHeight="1">
      <c r="A2" s="30" t="s">
        <v>47</v>
      </c>
      <c r="B2" s="31" t="s">
        <v>1025</v>
      </c>
      <c r="C2" s="31" t="s">
        <v>1026</v>
      </c>
      <c r="D2" s="31" t="s">
        <v>1027</v>
      </c>
      <c r="E2" s="31" t="s">
        <v>1028</v>
      </c>
      <c r="F2" s="31" t="s">
        <v>364</v>
      </c>
      <c r="G2" s="32" t="s">
        <v>363</v>
      </c>
    </row>
    <row r="3" ht="64.5" customHeight="1">
      <c r="A3" s="133">
        <v>1.0</v>
      </c>
      <c r="B3" s="134" t="s">
        <v>1029</v>
      </c>
      <c r="C3" s="135" t="s">
        <v>1030</v>
      </c>
      <c r="D3" s="135" t="s">
        <v>1031</v>
      </c>
      <c r="E3" s="36"/>
      <c r="F3" s="36" t="s">
        <v>1032</v>
      </c>
      <c r="G3" s="136" t="s">
        <v>46</v>
      </c>
    </row>
    <row r="4" ht="34.5" customHeight="1">
      <c r="A4" s="33">
        <v>2.0</v>
      </c>
      <c r="B4" s="34" t="s">
        <v>1033</v>
      </c>
      <c r="C4" s="90" t="s">
        <v>1034</v>
      </c>
      <c r="D4" s="90" t="s">
        <v>1035</v>
      </c>
      <c r="E4" s="36"/>
      <c r="F4" s="36" t="s">
        <v>1032</v>
      </c>
      <c r="G4" s="136" t="s">
        <v>46</v>
      </c>
    </row>
    <row r="5" ht="34.5" customHeight="1">
      <c r="A5" s="33">
        <v>3.0</v>
      </c>
      <c r="B5" s="34" t="s">
        <v>1036</v>
      </c>
      <c r="C5" s="90" t="s">
        <v>1037</v>
      </c>
      <c r="D5" s="90" t="s">
        <v>1038</v>
      </c>
      <c r="E5" s="36"/>
      <c r="F5" s="36" t="s">
        <v>1032</v>
      </c>
      <c r="G5" s="136" t="s">
        <v>80</v>
      </c>
    </row>
    <row r="6" ht="47.25" customHeight="1">
      <c r="A6" s="33">
        <v>4.0</v>
      </c>
      <c r="B6" s="34" t="s">
        <v>1039</v>
      </c>
      <c r="C6" s="90" t="s">
        <v>1040</v>
      </c>
      <c r="D6" s="90" t="s">
        <v>1041</v>
      </c>
      <c r="E6" s="36"/>
      <c r="F6" s="36" t="s">
        <v>1032</v>
      </c>
      <c r="G6" s="136" t="s">
        <v>92</v>
      </c>
    </row>
    <row r="7" ht="34.5" customHeight="1">
      <c r="A7" s="33">
        <v>5.0</v>
      </c>
      <c r="B7" s="34" t="s">
        <v>1042</v>
      </c>
      <c r="C7" s="90" t="s">
        <v>1043</v>
      </c>
      <c r="D7" s="90" t="s">
        <v>1044</v>
      </c>
      <c r="E7" s="36"/>
      <c r="F7" s="36" t="s">
        <v>1032</v>
      </c>
      <c r="G7" s="136" t="s">
        <v>81</v>
      </c>
    </row>
    <row r="8" ht="34.5" customHeight="1">
      <c r="A8" s="33">
        <v>6.0</v>
      </c>
      <c r="B8" s="34" t="s">
        <v>1045</v>
      </c>
      <c r="C8" s="90" t="s">
        <v>1046</v>
      </c>
      <c r="D8" s="90" t="s">
        <v>1047</v>
      </c>
      <c r="E8" s="36"/>
      <c r="F8" s="36" t="s">
        <v>1032</v>
      </c>
      <c r="G8" s="136" t="s">
        <v>53</v>
      </c>
    </row>
    <row r="9" ht="64.5" customHeight="1">
      <c r="A9" s="133">
        <v>7.0</v>
      </c>
      <c r="B9" s="134" t="s">
        <v>433</v>
      </c>
      <c r="C9" s="135" t="s">
        <v>1048</v>
      </c>
      <c r="D9" s="135" t="s">
        <v>1049</v>
      </c>
      <c r="E9" s="36"/>
      <c r="F9" s="36" t="s">
        <v>1032</v>
      </c>
      <c r="G9" s="136" t="s">
        <v>95</v>
      </c>
    </row>
    <row r="10" ht="76.5" customHeight="1">
      <c r="A10" s="133">
        <v>8.0</v>
      </c>
      <c r="B10" s="134" t="s">
        <v>1050</v>
      </c>
      <c r="C10" s="135" t="s">
        <v>1051</v>
      </c>
      <c r="D10" s="135" t="s">
        <v>1052</v>
      </c>
      <c r="E10" s="36"/>
      <c r="F10" s="36" t="s">
        <v>1032</v>
      </c>
      <c r="G10" s="136" t="s">
        <v>401</v>
      </c>
    </row>
    <row r="11" ht="27.0" customHeight="1">
      <c r="A11" s="38" t="s">
        <v>1053</v>
      </c>
      <c r="B11" s="39"/>
      <c r="C11" s="39"/>
      <c r="D11" s="39"/>
      <c r="E11" s="39"/>
      <c r="F11" s="39"/>
      <c r="G11" s="40"/>
    </row>
    <row r="12" ht="25.5" customHeight="1">
      <c r="A12" s="41" t="s">
        <v>47</v>
      </c>
      <c r="B12" s="42" t="s">
        <v>1054</v>
      </c>
      <c r="C12" s="42" t="s">
        <v>1055</v>
      </c>
      <c r="D12" s="42" t="s">
        <v>1056</v>
      </c>
      <c r="E12" s="42" t="s">
        <v>1057</v>
      </c>
      <c r="F12" s="42" t="s">
        <v>364</v>
      </c>
      <c r="G12" s="43" t="s">
        <v>363</v>
      </c>
    </row>
    <row r="13" ht="47.25" customHeight="1">
      <c r="A13" s="33">
        <v>1.0</v>
      </c>
      <c r="B13" s="34" t="s">
        <v>1058</v>
      </c>
      <c r="C13" s="90" t="s">
        <v>1059</v>
      </c>
      <c r="D13" s="90" t="s">
        <v>1060</v>
      </c>
      <c r="E13" s="36"/>
      <c r="F13" s="36" t="s">
        <v>1032</v>
      </c>
      <c r="G13" s="136" t="s">
        <v>80</v>
      </c>
    </row>
    <row r="14" ht="34.5" customHeight="1">
      <c r="A14" s="33">
        <v>2.0</v>
      </c>
      <c r="B14" s="34" t="s">
        <v>1061</v>
      </c>
      <c r="C14" s="90" t="s">
        <v>1062</v>
      </c>
      <c r="D14" s="90" t="s">
        <v>1063</v>
      </c>
      <c r="E14" s="36"/>
      <c r="F14" s="36" t="s">
        <v>394</v>
      </c>
      <c r="G14" s="136" t="s">
        <v>375</v>
      </c>
    </row>
    <row r="15" ht="34.5" customHeight="1">
      <c r="A15" s="33">
        <v>3.0</v>
      </c>
      <c r="B15" s="34" t="s">
        <v>1064</v>
      </c>
      <c r="C15" s="90" t="s">
        <v>1065</v>
      </c>
      <c r="D15" s="90" t="s">
        <v>1066</v>
      </c>
      <c r="E15" s="36"/>
      <c r="F15" s="36" t="s">
        <v>394</v>
      </c>
      <c r="G15" s="136" t="s">
        <v>81</v>
      </c>
    </row>
    <row r="16" ht="34.5" customHeight="1">
      <c r="A16" s="33">
        <v>4.0</v>
      </c>
      <c r="B16" s="34" t="s">
        <v>688</v>
      </c>
      <c r="C16" s="90" t="s">
        <v>1067</v>
      </c>
      <c r="D16" s="90" t="s">
        <v>1068</v>
      </c>
      <c r="E16" s="36"/>
      <c r="F16" s="36" t="s">
        <v>1032</v>
      </c>
      <c r="G16" s="136" t="s">
        <v>56</v>
      </c>
    </row>
    <row r="17" ht="47.25" customHeight="1">
      <c r="A17" s="33">
        <v>5.0</v>
      </c>
      <c r="B17" s="34" t="s">
        <v>1069</v>
      </c>
      <c r="C17" s="90" t="s">
        <v>1070</v>
      </c>
      <c r="D17" s="90" t="s">
        <v>1071</v>
      </c>
      <c r="E17" s="36"/>
      <c r="F17" s="36" t="s">
        <v>394</v>
      </c>
      <c r="G17" s="136" t="s">
        <v>95</v>
      </c>
    </row>
    <row r="18" ht="53.25" customHeight="1">
      <c r="A18" s="33">
        <v>6.0</v>
      </c>
      <c r="B18" s="134" t="s">
        <v>1072</v>
      </c>
      <c r="C18" s="135" t="s">
        <v>1073</v>
      </c>
      <c r="D18" s="135" t="s">
        <v>1074</v>
      </c>
      <c r="E18" s="36"/>
      <c r="F18" s="36" t="s">
        <v>1075</v>
      </c>
      <c r="G18" s="136" t="s">
        <v>53</v>
      </c>
    </row>
    <row r="19" ht="27.0" customHeight="1">
      <c r="A19" s="38" t="s">
        <v>1076</v>
      </c>
      <c r="B19" s="39"/>
      <c r="C19" s="39"/>
      <c r="D19" s="39"/>
      <c r="E19" s="39"/>
      <c r="F19" s="39"/>
      <c r="G19" s="40"/>
    </row>
    <row r="20" ht="39.0" customHeight="1">
      <c r="A20" s="41" t="s">
        <v>47</v>
      </c>
      <c r="B20" s="42" t="s">
        <v>1077</v>
      </c>
      <c r="C20" s="42" t="s">
        <v>1078</v>
      </c>
      <c r="D20" s="42" t="s">
        <v>1079</v>
      </c>
      <c r="E20" s="42" t="s">
        <v>1080</v>
      </c>
      <c r="F20" s="42" t="s">
        <v>364</v>
      </c>
      <c r="G20" s="43" t="s">
        <v>363</v>
      </c>
    </row>
    <row r="21" ht="63.75" customHeight="1">
      <c r="A21" s="33">
        <v>1.0</v>
      </c>
      <c r="B21" s="134" t="s">
        <v>1081</v>
      </c>
      <c r="C21" s="135" t="s">
        <v>1082</v>
      </c>
      <c r="D21" s="135" t="s">
        <v>1083</v>
      </c>
      <c r="E21" s="36"/>
      <c r="F21" s="36" t="s">
        <v>1084</v>
      </c>
      <c r="G21" s="136" t="s">
        <v>401</v>
      </c>
    </row>
    <row r="22" ht="47.25" customHeight="1">
      <c r="A22" s="33">
        <v>2.0</v>
      </c>
      <c r="B22" s="34" t="s">
        <v>1085</v>
      </c>
      <c r="C22" s="90" t="s">
        <v>1086</v>
      </c>
      <c r="D22" s="90" t="s">
        <v>1087</v>
      </c>
      <c r="E22" s="36"/>
      <c r="F22" s="36" t="s">
        <v>1088</v>
      </c>
      <c r="G22" s="136" t="s">
        <v>92</v>
      </c>
    </row>
    <row r="23" ht="34.5" customHeight="1">
      <c r="A23" s="44">
        <v>3.0</v>
      </c>
      <c r="B23" s="45" t="s">
        <v>1089</v>
      </c>
      <c r="C23" s="93" t="s">
        <v>1090</v>
      </c>
      <c r="D23" s="93" t="s">
        <v>1091</v>
      </c>
      <c r="E23" s="47"/>
      <c r="F23" s="47" t="s">
        <v>406</v>
      </c>
      <c r="G23" s="94"/>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30.0"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11:G11"/>
    <mergeCell ref="A19:G19"/>
  </mergeCells>
  <conditionalFormatting sqref="F3:F23">
    <cfRule type="containsText" dxfId="0" priority="1" stopIfTrue="1" operator="containsText" text="Baseline">
      <formula>NOT(ISERROR(SEARCH(("Baseline"),(F3))))</formula>
    </cfRule>
  </conditionalFormatting>
  <conditionalFormatting sqref="F3:F23">
    <cfRule type="containsText" dxfId="1" priority="2" stopIfTrue="1" operator="containsText" text="Đã thống nhất">
      <formula>NOT(ISERROR(SEARCH(("Đã thống nhất"),(F3))))</formula>
    </cfRule>
  </conditionalFormatting>
  <hyperlinks>
    <hyperlink display="WIREFRAME" location="WIREFRAME!A1" ref="G3"/>
    <hyperlink display="WIREFRAME" location="WIREFRAME!A1" ref="G4"/>
    <hyperlink display="Weapons" location="Weapons!A1" ref="G5"/>
    <hyperlink display="ECONOMIC" location="ECONOMIC!A1" ref="G6"/>
    <hyperlink display="MAP DESIGN" location="'MAP DESIGN'!A1" ref="G7"/>
    <hyperlink display="OVERVIEW" location="OVERVIEW!A1" ref="G8"/>
    <hyperlink display="Hero" location="Hero!A1" ref="G9"/>
    <hyperlink display="MATCH DESIGN DATA" location="'MATCH DESIGN DATA'!A1" ref="G10"/>
    <hyperlink display="Weapons" location="Weapons!A1" ref="G13"/>
    <hyperlink display="Equipments" location="Equipments!A1" ref="G14"/>
    <hyperlink display="MAP DESIGN" location="'MAP DESIGN'!A1" ref="G15"/>
    <hyperlink display="PROCESSING" location="PROCESSING!A1" ref="G16"/>
    <hyperlink display="Hero" location="Hero!A1" ref="G17"/>
    <hyperlink display="OVERVIEW" location="OVERVIEW!A1" ref="G18"/>
    <hyperlink display="MATCH DESIGN DATA" location="'MATCH DESIGN DATA'!A1" ref="G21"/>
    <hyperlink display="ECONOMIC" location="ECONOMIC!A1" ref="G22"/>
  </hyperlinks>
  <printOptions/>
  <pageMargins bottom="1.0" footer="0.0" header="0.0" left="0.75" right="0.75" top="1.0"/>
  <pageSetup orientation="landscape"/>
  <drawing r:id="rId2"/>
  <legacyDrawing r:id="rId3"/>
</worksheet>
</file>